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puts" sheetId="1" state="visible" r:id="rId3"/>
    <sheet name="KPI Dashboard" sheetId="2" state="visible" r:id="rId4"/>
    <sheet name="Summary" sheetId="3" state="visible" r:id="rId5"/>
    <sheet name="How to use" sheetId="4" state="visible" r:id="rId6"/>
  </sheets>
  <definedNames>
    <definedName function="false" hidden="true" localSheetId="1" name="_xlnm._FilterDatabase" vbProcedure="false">'KPI Dashboard'!$A$4:$V$29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<sst xmlns="http://schemas.openxmlformats.org/spreadsheetml/2006/main" count="338" uniqueCount="256">
  <si>
    <t xml:space="preserve">  MONTHLY INPUTS — LIBERTY LIVING KPI DATA</t>
  </si>
  <si>
    <t xml:space="preserve">Enter the raw count for each row each month. The KPI Dashboard tab calculates rates and RAG automatically.</t>
  </si>
  <si>
    <t xml:space="preserve">Metric</t>
  </si>
  <si>
    <t xml:space="preserve">Hint / source</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</si>
  <si>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</si>
  <si>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</si>
  <si>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</si>
  <si>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</si>
  <si>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</si>
  <si>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</si>
  <si>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</si>
  <si>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</si>
  <si>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</si>
  <si>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</si>
  <si>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</si>
  <si>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</si>
  <si>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  OPERATIONAL BASELINE</t>
  </si>
  <si>
    <t xml:space="preserve">Total hours delivered</t>
  </si>
  <si>
    <t xml:space="preserve">From CRM time-and-attendance report</t>
  </si>
  <si>
    <t xml:space="preserve">Total visits scheduled</t>
  </si>
  <si>
    <t xml:space="preserve">From rota planning system</t>
  </si>
  <si>
    <t xml:space="preserve">Total visits delivered</t>
  </si>
  <si>
    <t xml:space="preserve">Scheduled minus missed</t>
  </si>
  <si>
    <t xml:space="preserve">Active Service Users (month end)</t>
  </si>
  <si>
    <t xml:space="preserve">From CRM Service User register</t>
  </si>
  <si>
    <t xml:space="preserve">Active staff (month end)</t>
  </si>
  <si>
    <t xml:space="preserve">From HR system</t>
  </si>
  <si>
    <t xml:space="preserve">Total medication prompts delivered</t>
  </si>
  <si>
    <t xml:space="preserve">From CRM medication log</t>
  </si>
  <si>
    <t xml:space="preserve">  SERVICE DELIVERY</t>
  </si>
  <si>
    <t xml:space="preserve">Missed visits</t>
  </si>
  <si>
    <t xml:space="preserve">Any visit not delivered for any reason</t>
  </si>
  <si>
    <t xml:space="preserve">Late visits (&gt;30 mins late)</t>
  </si>
  <si>
    <t xml:space="preserve">Visits outside agreed time window</t>
  </si>
  <si>
    <t xml:space="preserve">Care plan reviews due in month</t>
  </si>
  <si>
    <t xml:space="preserve">Reviews falling due that month</t>
  </si>
  <si>
    <t xml:space="preserve">Care plan reviews completed</t>
  </si>
  <si>
    <t xml:space="preserve">Reviews completed on or before due date</t>
  </si>
  <si>
    <t xml:space="preserve">  CLINICAL SAFETY</t>
  </si>
  <si>
    <t xml:space="preserve">Medication errors / near misses</t>
  </si>
  <si>
    <t xml:space="preserve">Any incident involving medication</t>
  </si>
  <si>
    <t xml:space="preserve">Falls reported</t>
  </si>
  <si>
    <t xml:space="preserve">Reported via incident form</t>
  </si>
  <si>
    <t xml:space="preserve">Major or Extreme incidents</t>
  </si>
  <si>
    <t xml:space="preserve">Rated 4-5 on HSE Risk Scoring Matrix</t>
  </si>
  <si>
    <t xml:space="preserve">Open Disclosure events triggered</t>
  </si>
  <si>
    <t xml:space="preserve">Incidents requiring formal OD per QA-13</t>
  </si>
  <si>
    <t xml:space="preserve">Open Disclosure events completed in line with QA-13</t>
  </si>
  <si>
    <t xml:space="preserve">Initial + formal stages closed</t>
  </si>
  <si>
    <t xml:space="preserve">  SERVICE USER EXPERIENCE</t>
  </si>
  <si>
    <t xml:space="preserve">Complaints received</t>
  </si>
  <si>
    <t xml:space="preserve">Any channel including anonymous</t>
  </si>
  <si>
    <t xml:space="preserve">Complaints closed in month</t>
  </si>
  <si>
    <t xml:space="preserve">Used as denominator for resolution-time</t>
  </si>
  <si>
    <t xml:space="preserve">Sum of resolution days (closed)</t>
  </si>
  <si>
    <t xml:space="preserve">Add days-to-close for each closed complaint</t>
  </si>
  <si>
    <t xml:space="preserve">Complaints upheld or partly upheld</t>
  </si>
  <si>
    <t xml:space="preserve">Of those closed in the month</t>
  </si>
  <si>
    <t xml:space="preserve">Compliments received</t>
  </si>
  <si>
    <t xml:space="preserve">Any channel — log faithfully</t>
  </si>
  <si>
    <t xml:space="preserve">Service User satisfaction (annual only)</t>
  </si>
  <si>
    <t xml:space="preserve">From annual survey — enter once per year</t>
  </si>
  <si>
    <t xml:space="preserve">  STAFF WORKFORCE</t>
  </si>
  <si>
    <t xml:space="preserve">Leavers in rolling 12 months</t>
  </si>
  <si>
    <t xml:space="preserve">Update each month with rolling total</t>
  </si>
  <si>
    <t xml:space="preserve">Sickness days lost in month</t>
  </si>
  <si>
    <t xml:space="preserve">Staff with all mandatory training in date</t>
  </si>
  <si>
    <t xml:space="preserve">From LMS</t>
  </si>
  <si>
    <t xml:space="preserve">Staff with supervision recorded at cadence</t>
  </si>
  <si>
    <t xml:space="preserve">Staff with valid NVB vetting</t>
  </si>
  <si>
    <t xml:space="preserve">From HR vetting register</t>
  </si>
  <si>
    <t xml:space="preserve">  GOVERNANCE &amp; COMPLIANCE</t>
  </si>
  <si>
    <t xml:space="preserve">Safeguarding concerns raised</t>
  </si>
  <si>
    <t xml:space="preserve">All concerns logged in month</t>
  </si>
  <si>
    <t xml:space="preserve">Statutory notifications due</t>
  </si>
  <si>
    <t xml:space="preserve">Patient Safety Act 2023, HIQA, HSE</t>
  </si>
  <si>
    <t xml:space="preserve">Statutory notifications submitted on time</t>
  </si>
  <si>
    <t xml:space="preserve">Of those due in month</t>
  </si>
  <si>
    <t xml:space="preserve">Audits planned YTD</t>
  </si>
  <si>
    <t xml:space="preserve">Cumulative from start of year</t>
  </si>
  <si>
    <t xml:space="preserve">Audits completed YTD</t>
  </si>
  <si>
    <t xml:space="preserve">Audit findings due to close in month</t>
  </si>
  <si>
    <t xml:space="preserve">From QIP register</t>
  </si>
  <si>
    <t xml:space="preserve">Audit findings closed in SLA</t>
  </si>
  <si>
    <t xml:space="preserve">Of those due</t>
  </si>
  <si>
    <t xml:space="preserve">Open QIPs (month end)</t>
  </si>
  <si>
    <t xml:space="preserve">QIPs with target date in month</t>
  </si>
  <si>
    <t xml:space="preserve">QIPs closed by target date</t>
  </si>
  <si>
    <t xml:space="preserve">Of those with target date in month</t>
  </si>
  <si>
    <t xml:space="preserve">Policies within review date</t>
  </si>
  <si>
    <t xml:space="preserve">From Document Control Register</t>
  </si>
  <si>
    <t xml:space="preserve">Total live policies</t>
  </si>
  <si>
    <t xml:space="preserve">Currently 42</t>
  </si>
  <si>
    <t xml:space="preserve">Reminder: green/amber/red thresholds and Liberty Living targets are set on the KPI Dashboard tab. Pre-loaded baseline values for May 2026 use 19,000 hours/month, ~25,300 visits, ~15,200 med prompts, 400 Service Users, 135 staff.</t>
  </si>
  <si>
    <t xml:space="preserve">  KPI DASHBOARD — CALCULATED FROM MONTHLY INPUTS</t>
  </si>
  <si>
    <t xml:space="preserve">All values calculated from the Inputs tab. Conditional formatting flags Green / Amber / Red automatically.</t>
  </si>
  <si>
    <t xml:space="preserve">Category</t>
  </si>
  <si>
    <t xml:space="preserve">KPI</t>
  </si>
  <si>
    <t xml:space="preserve">How it's calculated</t>
  </si>
  <si>
    <t xml:space="preserve">Green</t>
  </si>
  <si>
    <t xml:space="preserve">Amber</t>
  </si>
  <si>
    <t xml:space="preserve">Red</t>
  </si>
  <si>
    <t xml:space="preserve">Liberty Living target</t>
  </si>
  <si>
    <t xml:space="preserve">Latest</t>
  </si>
  <si>
    <t xml:space="preserve">Trend (last 3m)</t>
  </si>
  <si>
    <t xml:space="preserve">RAG</t>
  </si>
  <si>
    <t xml:space="preserve">Service Delivery</t>
  </si>
  <si>
    <t xml:space="preserve">Visit completion rate</t>
  </si>
  <si>
    <t xml:space="preserve">(visits_delivered ÷ visits_scheduled)</t>
  </si>
  <si>
    <t xml:space="preserve">≥99%</t>
  </si>
  <si>
    <t xml:space="preserve">97–98.9%</t>
  </si>
  <si>
    <t xml:space="preserve">&lt;97%</t>
  </si>
  <si>
    <t xml:space="preserve">≥99% (≤253 missed of ~25,300 visits)</t>
  </si>
  <si>
    <t xml:space="preserve">Missed visit rate</t>
  </si>
  <si>
    <t xml:space="preserve">(missed_visits ÷ visits_scheduled)</t>
  </si>
  <si>
    <t xml:space="preserve">≤0.5%</t>
  </si>
  <si>
    <t xml:space="preserve">0.5–1%</t>
  </si>
  <si>
    <t xml:space="preserve">&gt;1%</t>
  </si>
  <si>
    <t xml:space="preserve">≤127 missed visits/mo (~0.5% of 25,300)</t>
  </si>
  <si>
    <t xml:space="preserve">Late visit rate (&gt;30 min)</t>
  </si>
  <si>
    <t xml:space="preserve">(late_visits ÷ visits_delivered)</t>
  </si>
  <si>
    <t xml:space="preserve">≤3%</t>
  </si>
  <si>
    <t xml:space="preserve">3–5%</t>
  </si>
  <si>
    <t xml:space="preserve">&gt;5%</t>
  </si>
  <si>
    <t xml:space="preserve">≤760 late visits/mo (~3% of 25,300)</t>
  </si>
  <si>
    <t xml:space="preserve">Care plan review compliance</t>
  </si>
  <si>
    <t xml:space="preserve">(reviews_done ÷ reviews_due)</t>
  </si>
  <si>
    <t xml:space="preserve">100%</t>
  </si>
  <si>
    <t xml:space="preserve">95–99.9%</t>
  </si>
  <si>
    <t xml:space="preserve">&lt;95%</t>
  </si>
  <si>
    <t xml:space="preserve">100% of reviews due in month</t>
  </si>
  <si>
    <t xml:space="preserve">Clinical Safety</t>
  </si>
  <si>
    <t xml:space="preserve">Medication errors per 1,000 prompts</t>
  </si>
  <si>
    <t xml:space="preserve">(med_errors ÷ med_prompts) × 1,000</t>
  </si>
  <si>
    <t xml:space="preserve">≤0.5</t>
  </si>
  <si>
    <t xml:space="preserve">0.5–1.0</t>
  </si>
  <si>
    <t xml:space="preserve">&gt;1.0</t>
  </si>
  <si>
    <t xml:space="preserve">≤8 errors/mo (~15,200 prompts)</t>
  </si>
  <si>
    <t xml:space="preserve">Falls per 100 Service Users</t>
  </si>
  <si>
    <t xml:space="preserve">(falls ÷ active_sus) × 100</t>
  </si>
  <si>
    <t xml:space="preserve">≤3</t>
  </si>
  <si>
    <t xml:space="preserve">3–5</t>
  </si>
  <si>
    <t xml:space="preserve">&gt;5</t>
  </si>
  <si>
    <t xml:space="preserve">≤12 falls/mo across 400 SUs</t>
  </si>
  <si>
    <t xml:space="preserve">Serious incidents (Major/Extreme)</t>
  </si>
  <si>
    <t xml:space="preserve">Count direct from inputs</t>
  </si>
  <si>
    <t xml:space="preserve">0</t>
  </si>
  <si>
    <t xml:space="preserve">1–2</t>
  </si>
  <si>
    <t xml:space="preserve">≥3</t>
  </si>
  <si>
    <t xml:space="preserve">0 per month</t>
  </si>
  <si>
    <t xml:space="preserve">Open Disclosure compliance</t>
  </si>
  <si>
    <t xml:space="preserve">(od_completed ÷ od_required)</t>
  </si>
  <si>
    <t xml:space="preserve">90–99%</t>
  </si>
  <si>
    <t xml:space="preserve">&lt;90%</t>
  </si>
  <si>
    <t xml:space="preserve">100% of qualifying events</t>
  </si>
  <si>
    <t xml:space="preserve">Service User Experience</t>
  </si>
  <si>
    <t xml:space="preserve">Complaints volume</t>
  </si>
  <si>
    <t xml:space="preserve">Count direct</t>
  </si>
  <si>
    <t xml:space="preserve">Trend tracked</t>
  </si>
  <si>
    <t xml:space="preserve">Trend only (typical 1–2/mo at this scale)</t>
  </si>
  <si>
    <t xml:space="preserve">Avg complaint resolution time (days)</t>
  </si>
  <si>
    <t xml:space="preserve">(complaint_days_sum ÷ complaints_closed)</t>
  </si>
  <si>
    <t xml:space="preserve">≤20</t>
  </si>
  <si>
    <t xml:space="preserve">20–30</t>
  </si>
  <si>
    <t xml:space="preserve">&gt;30</t>
  </si>
  <si>
    <t xml:space="preserve">Median ≤20 working days</t>
  </si>
  <si>
    <t xml:space="preserve">Complaints upheld %</t>
  </si>
  <si>
    <t xml:space="preserve">(complaints_upheld ÷ complaints_closed)</t>
  </si>
  <si>
    <t xml:space="preserve">Trend only — interpret in context</t>
  </si>
  <si>
    <t xml:space="preserve">Service User satisfaction</t>
  </si>
  <si>
    <t xml:space="preserve">Annual survey result (enter once/year)</t>
  </si>
  <si>
    <t xml:space="preserve">≥90%</t>
  </si>
  <si>
    <t xml:space="preserve">80–89%</t>
  </si>
  <si>
    <t xml:space="preserve">&lt;80%</t>
  </si>
  <si>
    <t xml:space="preserve">≥90% annual survey score</t>
  </si>
  <si>
    <t xml:space="preserve">Aim for ≥5 compliments per complaint</t>
  </si>
  <si>
    <t xml:space="preserve">Staff Workforce</t>
  </si>
  <si>
    <t xml:space="preserve">Annual staff turnover %</t>
  </si>
  <si>
    <t xml:space="preserve">(leavers_12m ÷ active_staff)</t>
  </si>
  <si>
    <t xml:space="preserve">≤20%</t>
  </si>
  <si>
    <t xml:space="preserve">20–30%</t>
  </si>
  <si>
    <t xml:space="preserve">&gt;30%</t>
  </si>
  <si>
    <t xml:space="preserve">≤27 leavers/year (135 staff)</t>
  </si>
  <si>
    <t xml:space="preserve">Staff sickness rate</t>
  </si>
  <si>
    <t xml:space="preserve">(sickness_days ÷ (active_staff × 22))</t>
  </si>
  <si>
    <t xml:space="preserve">≤4%</t>
  </si>
  <si>
    <t xml:space="preserve">4–6%</t>
  </si>
  <si>
    <t xml:space="preserve">&gt;6%</t>
  </si>
  <si>
    <t xml:space="preserve">≤119 sickness days/mo</t>
  </si>
  <si>
    <t xml:space="preserve">Mandatory training compliance</t>
  </si>
  <si>
    <t xml:space="preserve">(training_compliant ÷ active_staff)</t>
  </si>
  <si>
    <t xml:space="preserve">≥95%</t>
  </si>
  <si>
    <t xml:space="preserve">90–94.9%</t>
  </si>
  <si>
    <t xml:space="preserve">≥129 of 135 staff</t>
  </si>
  <si>
    <t xml:space="preserve">Supervision compliance</t>
  </si>
  <si>
    <t xml:space="preserve">(supervision_compliant ÷ active_staff)</t>
  </si>
  <si>
    <t xml:space="preserve">Garda vetting currency</t>
  </si>
  <si>
    <t xml:space="preserve">(nvb_current ÷ active_staff)</t>
  </si>
  <si>
    <t xml:space="preserve">99–99.9%</t>
  </si>
  <si>
    <t xml:space="preserve">&lt;99%</t>
  </si>
  <si>
    <t xml:space="preserve">All 135 in date</t>
  </si>
  <si>
    <t xml:space="preserve">Governance &amp; Compliance</t>
  </si>
  <si>
    <t xml:space="preserve">Trend only (0 is not the target)</t>
  </si>
  <si>
    <t xml:space="preserve">Statutory notifications on time</t>
  </si>
  <si>
    <t xml:space="preserve">(stat_notif_on_time ÷ stat_notif_total)</t>
  </si>
  <si>
    <t xml:space="preserve">Any miss</t>
  </si>
  <si>
    <t xml:space="preserve">100% — no exceptions</t>
  </si>
  <si>
    <t xml:space="preserve">Audits completed vs plan</t>
  </si>
  <si>
    <t xml:space="preserve">(audits_done_ytd ÷ audits_planned_ytd)</t>
  </si>
  <si>
    <t xml:space="preserve">85–94.9%</t>
  </si>
  <si>
    <t xml:space="preserve">&lt;85%</t>
  </si>
  <si>
    <t xml:space="preserve">≥17 of 18 annual audits</t>
  </si>
  <si>
    <t xml:space="preserve">Audit findings closed within SLA</t>
  </si>
  <si>
    <t xml:space="preserve">(findings_closed ÷ findings_due)</t>
  </si>
  <si>
    <t xml:space="preserve">80–89.9%</t>
  </si>
  <si>
    <t xml:space="preserve">≥90% of audit findings due</t>
  </si>
  <si>
    <t xml:space="preserve">Trend only — typical 20–40</t>
  </si>
  <si>
    <t xml:space="preserve">QIP closure within target</t>
  </si>
  <si>
    <t xml:space="preserve">(qips_closed_on_time ÷ qips_target_due)</t>
  </si>
  <si>
    <t xml:space="preserve">≥85%</t>
  </si>
  <si>
    <t xml:space="preserve">70–84.9%</t>
  </si>
  <si>
    <t xml:space="preserve">&lt;70%</t>
  </si>
  <si>
    <t xml:space="preserve">≥85% of QIPs closed by target</t>
  </si>
  <si>
    <t xml:space="preserve">(policies_in_date ÷ policies_total)</t>
  </si>
  <si>
    <t xml:space="preserve">All 42 in date</t>
  </si>
  <si>
    <t xml:space="preserve">KPI Dashboard — Snapshot</t>
  </si>
  <si>
    <t xml:space="preserve">Live counts pulled from the calculated dashboard. Bring this to every EMT meeting.</t>
  </si>
  <si>
    <t xml:space="preserve">KPIs being tracked</t>
  </si>
  <si>
    <t xml:space="preserve">KPIs reporting data</t>
  </si>
  <si>
    <t xml:space="preserve">KPIs Green</t>
  </si>
  <si>
    <t xml:space="preserve">KPIs Amber</t>
  </si>
  <si>
    <t xml:space="preserve">KPIs Red</t>
  </si>
  <si>
    <t xml:space="preserve">KPIs Trend-only</t>
  </si>
  <si>
    <t xml:space="preserve">By category</t>
  </si>
  <si>
    <t xml:space="preserve">Tracked</t>
  </si>
  <si>
    <t xml:space="preserve">How to use this dashboard</t>
  </si>
  <si>
    <t xml:space="preserve">The model in one line:</t>
  </si>
  <si>
    <t xml:space="preserve">The Quality team enters RAW COUNTS each month (50 missed visits, 8 falls, 2 complaints, etc.) on the Inputs tab. The KPI Dashboard tab calculates rates and RAG automatically.</t>
  </si>
  <si>
    <t xml:space="preserve">Step 1 — Update the operational baseline</t>
  </si>
  <si>
    <t xml:space="preserve">On the Inputs tab, top section (Operational baseline), enter the six month-end figures: total hours delivered, visits scheduled, visits delivered, active Service Users, active staff, total medication prompts. These are the denominators for the rest of the calculations.</t>
  </si>
  <si>
    <t xml:space="preserve">Step 2 — Enter the numerators</t>
  </si>
  <si>
    <t xml:space="preserve">Working down the Inputs tab, enter the count for each KPI numerator: missed visits, falls, medication errors, complaints, leavers, sickness days, training compliant staff, statutory notifications, audit findings, QIPs, and so on. Where a row needs only a count (e.g. compliments, Open QIPs), enter the count directly.</t>
  </si>
  <si>
    <t xml:space="preserve">Step 3 — Review the KPI Dashboard</t>
  </si>
  <si>
    <t xml:space="preserve">Switch to the KPI Dashboard tab. Every cell shows the calculated rate for that month. Conditional formatting colours each cell Green / Amber / Red against the Liberty Living target. The 'Trend' column shows the direction of the last 3 months vs the previous 3.</t>
  </si>
  <si>
    <t xml:space="preserve">Step 4 — Brief EMT</t>
  </si>
  <si>
    <t xml:space="preserve">Open the Summary tab. The top-line shows how many KPIs are Green, Amber and Red right now, with a breakdown by category. Screenshot this into the monthly EMT pack.</t>
  </si>
  <si>
    <t xml:space="preserve">Step 5 — Brief CGC quarterly</t>
  </si>
  <si>
    <t xml:space="preserve">Filter the KPI Dashboard tab to show the three most recent months. The Latest column gives you the snapshot; the Trend column tells the story. Any Red or Amber needs a QIP in the QIP Register.</t>
  </si>
  <si>
    <t xml:space="preserve">Annual / one-off entries</t>
  </si>
  <si>
    <t xml:space="preserve">The Service User satisfaction KPI takes the annual survey result — enter once per year in the month the survey concludes.</t>
  </si>
  <si>
    <t xml:space="preserve">Adjusting the year</t>
  </si>
  <si>
    <t xml:space="preserve">At year-end, copy the workbook and update the month headers on the Inputs tab and KPI Dashboard tab to the new year (Jan 2027, Feb 2027, etc). The formulas don't depend on the year text — they reference cell positions.</t>
  </si>
  <si>
    <t xml:space="preserve">Adjusting thresholds</t>
  </si>
  <si>
    <t xml:space="preserve">Liberty Living's calibrated targets are in the 'Liberty Living target' column of the KPI Dashboard tab. They were set against 19,000 hours/month delivery volume. If volume changes materially (say +/-20%), update the targets in the KPI Targets &amp; Baselines document and re-issue.</t>
  </si>
  <si>
    <t xml:space="preserve">Pre-populated example: May 2026</t>
  </si>
  <si>
    <t xml:space="preserve">The May 2026 column is pre-populated as a worked example showing how the dashboard responds to a typical month. Clear the May column once you start using the workbook with real data, or overwrite as the real values come in.</t>
  </si>
</sst>
</file>

<file path=xl/styles.xml><?xml version="1.0" encoding="utf-8"?>
<styleSheet xmlns="http://schemas.openxmlformats.org/spreadsheetml/2006/main">
  <numFmts count="6">
    <numFmt numFmtId="164" formatCode="General"/>
    <numFmt numFmtId="165" formatCode="#,##0"/>
    <numFmt numFmtId="166" formatCode="0.0%"/>
    <numFmt numFmtId="167" formatCode="0.00%"/>
    <numFmt numFmtId="168" formatCode="0.00"/>
    <numFmt numFmtId="169" formatCode="0.0"/>
  </numFmts>
  <fonts count="2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1"/>
      <color rgb="FFFFFFFF"/>
      <name val="Arial"/>
      <family val="0"/>
      <charset val="1"/>
    </font>
    <font>
      <b val="true"/>
      <sz val="12"/>
      <color rgb="FFFFFFFF"/>
      <name val="Arial"/>
      <family val="0"/>
      <charset val="1"/>
    </font>
    <font>
      <b val="true"/>
      <sz val="10"/>
      <name val="Arial"/>
      <family val="0"/>
      <charset val="1"/>
    </font>
    <font>
      <i val="true"/>
      <sz val="9"/>
      <color rgb="FF595959"/>
      <name val="Arial"/>
      <family val="0"/>
      <charset val="1"/>
    </font>
    <font>
      <b val="true"/>
      <sz val="10"/>
      <color rgb="FF1F4E79"/>
      <name val="Arial"/>
      <family val="0"/>
      <charset val="1"/>
    </font>
    <font>
      <b val="true"/>
      <sz val="10"/>
      <color rgb="FFFFFFFF"/>
      <name val="Arial"/>
      <family val="0"/>
      <charset val="1"/>
    </font>
    <font>
      <b val="true"/>
      <sz val="10"/>
      <color rgb="FF2E7D32"/>
      <name val="Arial"/>
      <family val="0"/>
      <charset val="1"/>
    </font>
    <font>
      <b val="true"/>
      <sz val="10"/>
      <color rgb="FF1B5E20"/>
      <name val="Arial"/>
      <family val="0"/>
      <charset val="1"/>
    </font>
    <font>
      <b val="true"/>
      <sz val="10"/>
      <color rgb="FFE65100"/>
      <name val="Arial"/>
      <family val="0"/>
      <charset val="1"/>
    </font>
    <font>
      <b val="true"/>
      <sz val="10"/>
      <color rgb="FFB71C1C"/>
      <name val="Arial"/>
      <family val="0"/>
      <charset val="1"/>
    </font>
    <font>
      <b val="true"/>
      <sz val="10"/>
      <color rgb="FFC62828"/>
      <name val="Arial"/>
      <family val="0"/>
      <charset val="1"/>
    </font>
    <font>
      <b val="true"/>
      <sz val="10"/>
      <color rgb="FF00838F"/>
      <name val="Arial"/>
      <family val="0"/>
      <charset val="1"/>
    </font>
    <font>
      <b val="true"/>
      <sz val="10"/>
      <color rgb="FF6A1B9A"/>
      <name val="Arial"/>
      <family val="0"/>
      <charset val="1"/>
    </font>
    <font>
      <b val="true"/>
      <sz val="20"/>
      <color rgb="FF1F4E79"/>
      <name val="Arial"/>
      <family val="0"/>
      <charset val="1"/>
    </font>
    <font>
      <b val="true"/>
      <sz val="14"/>
      <color rgb="FF1F4E79"/>
      <name val="Arial"/>
      <family val="0"/>
      <charset val="1"/>
    </font>
    <font>
      <b val="true"/>
      <sz val="14"/>
      <color rgb="FF1B5E20"/>
      <name val="Arial"/>
      <family val="0"/>
      <charset val="1"/>
    </font>
    <font>
      <b val="true"/>
      <sz val="14"/>
      <color rgb="FFE65100"/>
      <name val="Arial"/>
      <family val="0"/>
      <charset val="1"/>
    </font>
    <font>
      <b val="true"/>
      <sz val="14"/>
      <color rgb="FFB71C1C"/>
      <name val="Arial"/>
      <family val="0"/>
      <charset val="1"/>
    </font>
    <font>
      <b val="true"/>
      <sz val="14"/>
      <color rgb="FF595959"/>
      <name val="Arial"/>
      <family val="0"/>
      <charset val="1"/>
    </font>
    <font>
      <b val="true"/>
      <sz val="12"/>
      <color rgb="FF1F4E79"/>
      <name val="Arial"/>
      <family val="0"/>
      <charset val="1"/>
    </font>
    <font>
      <sz val="10"/>
      <name val="Arial"/>
      <family val="0"/>
      <charset val="1"/>
    </font>
  </fonts>
  <fills count="11">
    <fill>
      <patternFill patternType="none"/>
    </fill>
    <fill>
      <patternFill patternType="gray125"/>
    </fill>
    <fill>
      <patternFill patternType="solid">
        <fgColor rgb="FF1F4E79"/>
        <bgColor rgb="FF003366"/>
      </patternFill>
    </fill>
    <fill>
      <patternFill patternType="solid">
        <fgColor rgb="FF595959"/>
        <bgColor rgb="FF404040"/>
      </patternFill>
    </fill>
    <fill>
      <patternFill patternType="solid">
        <fgColor rgb="FFF7F7F7"/>
        <bgColor rgb="FFF2F2F2"/>
      </patternFill>
    </fill>
    <fill>
      <patternFill patternType="solid">
        <fgColor rgb="FF2E7D32"/>
        <bgColor rgb="FF1B5E20"/>
      </patternFill>
    </fill>
    <fill>
      <patternFill patternType="solid">
        <fgColor rgb="FFC62828"/>
        <bgColor rgb="FFB71C1C"/>
      </patternFill>
    </fill>
    <fill>
      <patternFill patternType="solid">
        <fgColor rgb="FF00838F"/>
        <bgColor rgb="FF008080"/>
      </patternFill>
    </fill>
    <fill>
      <patternFill patternType="solid">
        <fgColor rgb="FF6A1B9A"/>
        <bgColor rgb="FF800080"/>
      </patternFill>
    </fill>
    <fill>
      <patternFill patternType="solid">
        <fgColor rgb="FFEAF2FA"/>
        <bgColor rgb="FFF2F2F2"/>
      </patternFill>
    </fill>
    <fill>
      <patternFill patternType="solid">
        <fgColor rgb="FF404040"/>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1" shrinkToFit="false"/>
      <protection locked="true" hidden="false"/>
    </xf>
    <xf numFmtId="164" fontId="9" fillId="0" borderId="1" xfId="0" applyFont="true" applyBorder="true" applyAlignment="true" applyProtection="false">
      <alignment horizontal="left" vertical="center" textRotation="0" wrapText="false" indent="1"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true" applyAlignment="true" applyProtection="false">
      <alignment horizontal="left" vertical="center" textRotation="0" wrapText="false" indent="0" shrinkToFit="false"/>
      <protection locked="true" hidden="false"/>
    </xf>
    <xf numFmtId="164" fontId="7" fillId="6" borderId="0" xfId="0" applyFont="true" applyBorder="true" applyAlignment="true" applyProtection="false">
      <alignment horizontal="left" vertical="center" textRotation="0" wrapText="false" indent="0" shrinkToFit="false"/>
      <protection locked="true" hidden="false"/>
    </xf>
    <xf numFmtId="164" fontId="7" fillId="7" borderId="0" xfId="0" applyFont="true" applyBorder="true" applyAlignment="true" applyProtection="false">
      <alignment horizontal="left" vertical="center" textRotation="0" wrapText="false" indent="0" shrinkToFit="false"/>
      <protection locked="true" hidden="false"/>
    </xf>
    <xf numFmtId="166" fontId="0" fillId="0" borderId="1" xfId="0" applyFont="false" applyBorder="true" applyAlignment="true" applyProtection="false">
      <alignment horizontal="center" vertical="center" textRotation="0" wrapText="tru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4" fontId="7" fillId="8" borderId="0" xfId="0" applyFont="true" applyBorder="true" applyAlignment="true" applyProtection="false">
      <alignment horizontal="left"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1"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left" vertical="top"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9" fontId="8" fillId="0" borderId="1" xfId="0" applyFont="true" applyBorder="true" applyAlignment="true" applyProtection="false">
      <alignment horizontal="center" vertical="center" textRotation="0" wrapText="true" indent="0" shrinkToFit="false"/>
      <protection locked="true" hidden="false"/>
    </xf>
    <xf numFmtId="169" fontId="16"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5" fontId="17" fillId="0" borderId="1" xfId="0" applyFont="true" applyBorder="true" applyAlignment="true" applyProtection="false">
      <alignment horizontal="center" vertical="center" textRotation="0" wrapText="true" indent="0" shrinkToFit="false"/>
      <protection locked="true" hidden="false"/>
    </xf>
    <xf numFmtId="169" fontId="17" fillId="0" borderId="1" xfId="0" applyFont="true" applyBorder="true" applyAlignment="true" applyProtection="false">
      <alignment horizontal="center" vertical="center" textRotation="0" wrapText="true" indent="0" shrinkToFit="false"/>
      <protection locked="true" hidden="false"/>
    </xf>
    <xf numFmtId="166" fontId="17" fillId="0"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6" fontId="18" fillId="0"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00838F"/>
          <bgColor rgb="FF000000"/>
        </patternFill>
      </fill>
    </dxf>
    <dxf>
      <fill>
        <patternFill patternType="solid">
          <fgColor rgb="FF1F4E79"/>
          <bgColor rgb="FF000000"/>
        </patternFill>
      </fill>
    </dxf>
    <dxf>
      <fill>
        <patternFill patternType="solid">
          <fgColor rgb="FF2E7D32"/>
          <bgColor rgb="FF000000"/>
        </patternFill>
      </fill>
    </dxf>
    <dxf>
      <fill>
        <patternFill patternType="solid">
          <fgColor rgb="FF6A1B9A"/>
          <bgColor rgb="FF000000"/>
        </patternFill>
      </fill>
    </dxf>
    <dxf>
      <fill>
        <patternFill patternType="solid">
          <fgColor rgb="FFC62828"/>
          <bgColor rgb="FF000000"/>
        </patternFill>
      </fill>
    </dxf>
    <dxf>
      <fill>
        <patternFill patternType="solid">
          <fgColor rgb="FFFFFFFF"/>
          <bgColor rgb="FF000000"/>
        </patternFill>
      </fill>
    </dxf>
    <dxf>
      <fill>
        <patternFill patternType="solid">
          <bgColor rgb="FF000000"/>
        </patternFill>
      </fill>
    </dxf>
    <dxf>
      <fill>
        <patternFill patternType="solid">
          <fgColor rgb="FF595959"/>
          <bgColor rgb="FF000000"/>
        </patternFill>
      </fill>
    </dxf>
    <dxf>
      <fill>
        <patternFill patternType="solid">
          <fgColor rgb="FF1B5E20"/>
          <bgColor rgb="FF000000"/>
        </patternFill>
      </fill>
    </dxf>
    <dxf>
      <fill>
        <patternFill patternType="solid">
          <fgColor rgb="FFE65100"/>
          <bgColor rgb="FF000000"/>
        </patternFill>
      </fill>
    </dxf>
    <dxf>
      <fill>
        <patternFill patternType="solid">
          <fgColor rgb="FFB71C1C"/>
          <bgColor rgb="FF000000"/>
        </patternFill>
      </fill>
    </dxf>
    <dxf>
      <fill>
        <patternFill patternType="solid">
          <fgColor rgb="FFEAF2FA"/>
          <bgColor rgb="FF000000"/>
        </patternFill>
      </fill>
    </dxf>
    <dxf>
      <fill>
        <patternFill patternType="solid">
          <fgColor rgb="FFE8F5E9"/>
          <bgColor rgb="FF000000"/>
        </patternFill>
      </fill>
    </dxf>
    <dxf>
      <fill>
        <patternFill patternType="solid">
          <fgColor rgb="FFFFF8E1"/>
          <bgColor rgb="FF000000"/>
        </patternFill>
      </fill>
    </dxf>
    <dxf>
      <fill>
        <patternFill patternType="solid">
          <fgColor rgb="FFC8E6C9"/>
          <bgColor rgb="FF000000"/>
        </patternFill>
      </fill>
    </dxf>
    <dxf>
      <fill>
        <patternFill patternType="solid">
          <fgColor rgb="FFE0E0E0"/>
          <bgColor rgb="FF000000"/>
        </patternFill>
      </fill>
    </dxf>
    <dxf>
      <fill>
        <patternFill patternType="solid">
          <fgColor rgb="FFF2F2F2"/>
          <bgColor rgb="FF000000"/>
        </patternFill>
      </fill>
    </dxf>
    <dxf>
      <fill>
        <patternFill patternType="solid">
          <fgColor rgb="FFFFE0B2"/>
          <bgColor rgb="FF000000"/>
        </patternFill>
      </fill>
    </dxf>
    <dxf>
      <font>
        <name val="Arial"/>
        <charset val="1"/>
        <family val="0"/>
        <b val="1"/>
        <color rgb="FF1B5E20"/>
        <sz val="10"/>
      </font>
      <fill>
        <patternFill>
          <bgColor rgb="FFC8E6C9"/>
        </patternFill>
      </fill>
    </dxf>
    <dxf>
      <font>
        <name val="Arial"/>
        <charset val="1"/>
        <family val="0"/>
        <b val="1"/>
        <color rgb="FFE65100"/>
        <sz val="10"/>
      </font>
      <fill>
        <patternFill>
          <bgColor rgb="FFFFE0B2"/>
        </patternFill>
      </fill>
    </dxf>
    <dxf>
      <font>
        <name val="Arial"/>
        <charset val="1"/>
        <family val="0"/>
        <b val="1"/>
        <color rgb="FFB71C1C"/>
        <sz val="10"/>
      </font>
      <fill>
        <patternFill>
          <bgColor rgb="FFFFCDD2"/>
        </patternFill>
      </fill>
    </dxf>
    <dxf>
      <font>
        <name val="Arial"/>
        <charset val="1"/>
        <family val="0"/>
        <b val="1"/>
        <color rgb="FF595959"/>
        <sz val="10"/>
      </font>
      <fill>
        <patternFill>
          <bgColor rgb="FFE0E0E0"/>
        </patternFill>
      </fill>
    </dxf>
    <dxf>
      <font>
        <name val="Arial"/>
        <charset val="1"/>
        <family val="0"/>
        <b val="1"/>
        <color rgb="FF595959"/>
        <sz val="10"/>
      </font>
      <fill>
        <patternFill>
          <bgColor rgb="FFF2F2F2"/>
        </patternFill>
      </fill>
    </dxf>
    <dxf>
      <font>
        <name val="Arial"/>
        <charset val="1"/>
        <family val="0"/>
        <b val="1"/>
        <color rgb="FF1B5E20"/>
        <sz val="10"/>
      </font>
      <fill>
        <patternFill>
          <bgColor rgb="FFE8F5E9"/>
        </patternFill>
      </fill>
    </dxf>
    <dxf>
      <font>
        <name val="Arial"/>
        <charset val="1"/>
        <family val="0"/>
        <b val="1"/>
        <color rgb="FFB71C1C"/>
        <sz val="10"/>
      </font>
      <fill>
        <patternFill>
          <bgColor rgb="FFFFEBEE"/>
        </patternFill>
      </fill>
    </dxf>
    <dxf>
      <font>
        <name val="Arial"/>
        <charset val="1"/>
        <family val="0"/>
        <b val="1"/>
        <color rgb="FFE65100"/>
        <sz val="10"/>
      </font>
      <fill>
        <patternFill>
          <bgColor rgb="FFFFF8E1"/>
        </patternFill>
      </fill>
    </dxf>
  </dxfs>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6A1B9A"/>
      <rgbColor rgb="FF00838F"/>
      <rgbColor rgb="FFBFBFBF"/>
      <rgbColor rgb="FF808080"/>
      <rgbColor rgb="FF9999FF"/>
      <rgbColor rgb="FFC62828"/>
      <rgbColor rgb="FFFFF8E1"/>
      <rgbColor rgb="FFE8F5E9"/>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EAF2FA"/>
      <rgbColor rgb="FFC8E6C9"/>
      <rgbColor rgb="FFF2F2F2"/>
      <rgbColor rgb="FFFFEBEE"/>
      <rgbColor rgb="FFFFCDD2"/>
      <rgbColor rgb="FFF7F7F7"/>
      <rgbColor rgb="FFFFE0B2"/>
      <rgbColor rgb="FF3366FF"/>
      <rgbColor rgb="FF33CCCC"/>
      <rgbColor rgb="FF99CC00"/>
      <rgbColor rgb="FFFFCC00"/>
      <rgbColor rgb="FFFF9900"/>
      <rgbColor rgb="FFE65100"/>
      <rgbColor rgb="FF595959"/>
      <rgbColor rgb="FF969696"/>
      <rgbColor rgb="FF003366"/>
      <rgbColor rgb="FF2E7D32"/>
      <rgbColor rgb="FF003300"/>
      <rgbColor rgb="FF333300"/>
      <rgbColor rgb="FFB71C1C"/>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O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32"/>
    <col collapsed="false" customWidth="true" hidden="false" outlineLevel="0" max="14" min="3" style="0" width="11"/>
    <col collapsed="false" customWidth="true" hidden="false" outlineLevel="0" max="15" min="15" style="0" width="12"/>
  </cols>
  <sheetData>
    <row r="1" customFormat="false" ht="27.75" hidden="false" customHeight="true" outlineLevel="0" collapsed="false">
      <c r="A1" s="1" t="s">
        <v>0</v>
      </c>
      <c r="B1" s="1"/>
      <c r="C1" s="1"/>
      <c r="D1" s="1"/>
      <c r="E1" s="1"/>
      <c r="F1" s="1"/>
      <c r="G1" s="1"/>
      <c r="H1" s="1"/>
      <c r="I1" s="1"/>
      <c r="J1" s="1"/>
      <c r="K1" s="1"/>
      <c r="L1" s="1"/>
      <c r="M1" s="1"/>
      <c r="N1" s="1"/>
      <c r="O1" s="1"/>
    </row>
    <row r="2" customFormat="false" ht="21.75" hidden="false" customHeight="true" outlineLevel="0" collapsed="false">
      <c r="A2" s="2" t="s">
        <v>1</v>
      </c>
      <c r="B2" s="2"/>
      <c r="C2" s="2"/>
      <c r="D2" s="2"/>
      <c r="E2" s="2"/>
      <c r="F2" s="2"/>
      <c r="G2" s="2"/>
      <c r="H2" s="2"/>
      <c r="I2" s="2"/>
      <c r="J2" s="2"/>
      <c r="K2" s="2"/>
      <c r="L2" s="2"/>
      <c r="M2" s="2"/>
      <c r="N2" s="2"/>
      <c r="O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row>
    <row r="5" customFormat="false" ht="27.75" hidden="false" customHeight="true" outlineLevel="0" collapsed="false">
      <c r="A5" s="4" t="s">
        <v>16</v>
      </c>
      <c r="B5" s="4"/>
      <c r="C5" s="4"/>
      <c r="D5" s="4"/>
      <c r="E5" s="4"/>
      <c r="F5" s="4"/>
      <c r="G5" s="4"/>
      <c r="H5" s="4"/>
      <c r="I5" s="4"/>
      <c r="J5" s="4"/>
      <c r="K5" s="4"/>
      <c r="L5" s="4"/>
      <c r="M5" s="4"/>
      <c r="N5" s="4"/>
      <c r="O5" s="4"/>
    </row>
    <row r="6" customFormat="false" ht="21.75" hidden="false" customHeight="true" outlineLevel="0" collapsed="false">
      <c r="A6" s="5" t="s">
        <v>17</v>
      </c>
      <c r="B6" s="6" t="s">
        <v>18</v>
      </c>
      <c r="C6" s="7"/>
      <c r="D6" s="7"/>
      <c r="E6" s="7"/>
      <c r="F6" s="7"/>
      <c r="G6" s="8" t="n">
        <v>19000</v>
      </c>
      <c r="H6" s="7"/>
      <c r="I6" s="7"/>
      <c r="J6" s="7"/>
      <c r="K6" s="7"/>
      <c r="L6" s="7"/>
      <c r="M6" s="7"/>
      <c r="N6" s="7"/>
    </row>
    <row r="7" customFormat="false" ht="21.75" hidden="false" customHeight="true" outlineLevel="0" collapsed="false">
      <c r="A7" s="5" t="s">
        <v>19</v>
      </c>
      <c r="B7" s="6" t="s">
        <v>20</v>
      </c>
      <c r="C7" s="7"/>
      <c r="D7" s="7"/>
      <c r="E7" s="7"/>
      <c r="F7" s="7"/>
      <c r="G7" s="8" t="n">
        <v>25400</v>
      </c>
      <c r="H7" s="7"/>
      <c r="I7" s="7"/>
      <c r="J7" s="7"/>
      <c r="K7" s="7"/>
      <c r="L7" s="7"/>
      <c r="M7" s="7"/>
      <c r="N7" s="7"/>
    </row>
    <row r="8" customFormat="false" ht="21.75" hidden="false" customHeight="true" outlineLevel="0" collapsed="false">
      <c r="A8" s="5" t="s">
        <v>21</v>
      </c>
      <c r="B8" s="6" t="s">
        <v>22</v>
      </c>
      <c r="C8" s="7"/>
      <c r="D8" s="7"/>
      <c r="E8" s="7"/>
      <c r="F8" s="7"/>
      <c r="G8" s="8" t="n">
        <v>25300</v>
      </c>
      <c r="H8" s="7"/>
      <c r="I8" s="7"/>
      <c r="J8" s="7"/>
      <c r="K8" s="7"/>
      <c r="L8" s="7"/>
      <c r="M8" s="7"/>
      <c r="N8" s="7"/>
    </row>
    <row r="9" customFormat="false" ht="21.75" hidden="false" customHeight="true" outlineLevel="0" collapsed="false">
      <c r="A9" s="5" t="s">
        <v>23</v>
      </c>
      <c r="B9" s="6" t="s">
        <v>24</v>
      </c>
      <c r="C9" s="7"/>
      <c r="D9" s="7"/>
      <c r="E9" s="7"/>
      <c r="F9" s="7"/>
      <c r="G9" s="8" t="n">
        <v>400</v>
      </c>
      <c r="H9" s="7"/>
      <c r="I9" s="7"/>
      <c r="J9" s="7"/>
      <c r="K9" s="7"/>
      <c r="L9" s="7"/>
      <c r="M9" s="7"/>
      <c r="N9" s="7"/>
    </row>
    <row r="10" customFormat="false" ht="21.75" hidden="false" customHeight="true" outlineLevel="0" collapsed="false">
      <c r="A10" s="5" t="s">
        <v>25</v>
      </c>
      <c r="B10" s="6" t="s">
        <v>26</v>
      </c>
      <c r="C10" s="7"/>
      <c r="D10" s="7"/>
      <c r="E10" s="7"/>
      <c r="F10" s="7"/>
      <c r="G10" s="8" t="n">
        <v>135</v>
      </c>
      <c r="H10" s="7"/>
      <c r="I10" s="7"/>
      <c r="J10" s="7"/>
      <c r="K10" s="7"/>
      <c r="L10" s="7"/>
      <c r="M10" s="7"/>
      <c r="N10" s="7"/>
    </row>
    <row r="11" customFormat="false" ht="21.75" hidden="false" customHeight="true" outlineLevel="0" collapsed="false">
      <c r="A11" s="5" t="s">
        <v>27</v>
      </c>
      <c r="B11" s="6" t="s">
        <v>28</v>
      </c>
      <c r="C11" s="7"/>
      <c r="D11" s="7"/>
      <c r="E11" s="7"/>
      <c r="F11" s="7"/>
      <c r="G11" s="8" t="n">
        <v>15200</v>
      </c>
      <c r="H11" s="7"/>
      <c r="I11" s="7"/>
      <c r="J11" s="7"/>
      <c r="K11" s="7"/>
      <c r="L11" s="7"/>
      <c r="M11" s="7"/>
      <c r="N11" s="7"/>
    </row>
    <row r="12" customFormat="false" ht="27.75" hidden="false" customHeight="true" outlineLevel="0" collapsed="false">
      <c r="A12" s="9" t="s">
        <v>29</v>
      </c>
      <c r="B12" s="9"/>
      <c r="C12" s="9"/>
      <c r="D12" s="9"/>
      <c r="E12" s="9"/>
      <c r="F12" s="9"/>
      <c r="G12" s="9"/>
      <c r="H12" s="9"/>
      <c r="I12" s="9"/>
      <c r="J12" s="9"/>
      <c r="K12" s="9"/>
      <c r="L12" s="9"/>
      <c r="M12" s="9"/>
      <c r="N12" s="9"/>
      <c r="O12" s="9"/>
    </row>
    <row r="13" customFormat="false" ht="21.75" hidden="false" customHeight="true" outlineLevel="0" collapsed="false">
      <c r="A13" s="5" t="s">
        <v>30</v>
      </c>
      <c r="B13" s="6" t="s">
        <v>31</v>
      </c>
      <c r="C13" s="7"/>
      <c r="D13" s="7"/>
      <c r="E13" s="7"/>
      <c r="F13" s="7"/>
      <c r="G13" s="8" t="n">
        <v>100</v>
      </c>
      <c r="H13" s="7"/>
      <c r="I13" s="7"/>
      <c r="J13" s="7"/>
      <c r="K13" s="7"/>
      <c r="L13" s="7"/>
      <c r="M13" s="7"/>
      <c r="N13" s="7"/>
    </row>
    <row r="14" customFormat="false" ht="21.75" hidden="false" customHeight="true" outlineLevel="0" collapsed="false">
      <c r="A14" s="5" t="s">
        <v>32</v>
      </c>
      <c r="B14" s="6" t="s">
        <v>33</v>
      </c>
      <c r="C14" s="7"/>
      <c r="D14" s="7"/>
      <c r="E14" s="7"/>
      <c r="F14" s="7"/>
      <c r="G14" s="8" t="n">
        <v>650</v>
      </c>
      <c r="H14" s="7"/>
      <c r="I14" s="7"/>
      <c r="J14" s="7"/>
      <c r="K14" s="7"/>
      <c r="L14" s="7"/>
      <c r="M14" s="7"/>
      <c r="N14" s="7"/>
    </row>
    <row r="15" customFormat="false" ht="21.75" hidden="false" customHeight="true" outlineLevel="0" collapsed="false">
      <c r="A15" s="5" t="s">
        <v>34</v>
      </c>
      <c r="B15" s="6" t="s">
        <v>35</v>
      </c>
      <c r="C15" s="7"/>
      <c r="D15" s="7"/>
      <c r="E15" s="7"/>
      <c r="F15" s="7"/>
      <c r="G15" s="8" t="n">
        <v>33</v>
      </c>
      <c r="H15" s="7"/>
      <c r="I15" s="7"/>
      <c r="J15" s="7"/>
      <c r="K15" s="7"/>
      <c r="L15" s="7"/>
      <c r="M15" s="7"/>
      <c r="N15" s="7"/>
    </row>
    <row r="16" customFormat="false" ht="21.75" hidden="false" customHeight="true" outlineLevel="0" collapsed="false">
      <c r="A16" s="5" t="s">
        <v>36</v>
      </c>
      <c r="B16" s="6" t="s">
        <v>37</v>
      </c>
      <c r="C16" s="7"/>
      <c r="D16" s="7"/>
      <c r="E16" s="7"/>
      <c r="F16" s="7"/>
      <c r="G16" s="8" t="n">
        <v>32</v>
      </c>
      <c r="H16" s="7"/>
      <c r="I16" s="7"/>
      <c r="J16" s="7"/>
      <c r="K16" s="7"/>
      <c r="L16" s="7"/>
      <c r="M16" s="7"/>
      <c r="N16" s="7"/>
    </row>
    <row r="17" customFormat="false" ht="27.75" hidden="false" customHeight="true" outlineLevel="0" collapsed="false">
      <c r="A17" s="10" t="s">
        <v>38</v>
      </c>
      <c r="B17" s="10"/>
      <c r="C17" s="10"/>
      <c r="D17" s="10"/>
      <c r="E17" s="10"/>
      <c r="F17" s="10"/>
      <c r="G17" s="10"/>
      <c r="H17" s="10"/>
      <c r="I17" s="10"/>
      <c r="J17" s="10"/>
      <c r="K17" s="10"/>
      <c r="L17" s="10"/>
      <c r="M17" s="10"/>
      <c r="N17" s="10"/>
      <c r="O17" s="10"/>
    </row>
    <row r="18" customFormat="false" ht="21.75" hidden="false" customHeight="true" outlineLevel="0" collapsed="false">
      <c r="A18" s="5" t="s">
        <v>39</v>
      </c>
      <c r="B18" s="6" t="s">
        <v>40</v>
      </c>
      <c r="C18" s="7"/>
      <c r="D18" s="7"/>
      <c r="E18" s="7"/>
      <c r="F18" s="7"/>
      <c r="G18" s="8" t="n">
        <v>6</v>
      </c>
      <c r="H18" s="7"/>
      <c r="I18" s="7"/>
      <c r="J18" s="7"/>
      <c r="K18" s="7"/>
      <c r="L18" s="7"/>
      <c r="M18" s="7"/>
      <c r="N18" s="7"/>
    </row>
    <row r="19" customFormat="false" ht="21.75" hidden="false" customHeight="true" outlineLevel="0" collapsed="false">
      <c r="A19" s="5" t="s">
        <v>41</v>
      </c>
      <c r="B19" s="6" t="s">
        <v>42</v>
      </c>
      <c r="C19" s="7"/>
      <c r="D19" s="7"/>
      <c r="E19" s="7"/>
      <c r="F19" s="7"/>
      <c r="G19" s="8" t="n">
        <v>9</v>
      </c>
      <c r="H19" s="7"/>
      <c r="I19" s="7"/>
      <c r="J19" s="7"/>
      <c r="K19" s="7"/>
      <c r="L19" s="7"/>
      <c r="M19" s="7"/>
      <c r="N19" s="7"/>
    </row>
    <row r="20" customFormat="false" ht="21.75" hidden="false" customHeight="true" outlineLevel="0" collapsed="false">
      <c r="A20" s="5" t="s">
        <v>43</v>
      </c>
      <c r="B20" s="6" t="s">
        <v>44</v>
      </c>
      <c r="C20" s="7"/>
      <c r="D20" s="7"/>
      <c r="E20" s="7"/>
      <c r="F20" s="7"/>
      <c r="G20" s="8" t="n">
        <v>0</v>
      </c>
      <c r="H20" s="7"/>
      <c r="I20" s="7"/>
      <c r="J20" s="7"/>
      <c r="K20" s="7"/>
      <c r="L20" s="7"/>
      <c r="M20" s="7"/>
      <c r="N20" s="7"/>
    </row>
    <row r="21" customFormat="false" ht="21.75" hidden="false" customHeight="true" outlineLevel="0" collapsed="false">
      <c r="A21" s="5" t="s">
        <v>45</v>
      </c>
      <c r="B21" s="6" t="s">
        <v>46</v>
      </c>
      <c r="C21" s="7"/>
      <c r="D21" s="7"/>
      <c r="E21" s="7"/>
      <c r="F21" s="7"/>
      <c r="G21" s="8" t="n">
        <v>1</v>
      </c>
      <c r="H21" s="7"/>
      <c r="I21" s="7"/>
      <c r="J21" s="7"/>
      <c r="K21" s="7"/>
      <c r="L21" s="7"/>
      <c r="M21" s="7"/>
      <c r="N21" s="7"/>
    </row>
    <row r="22" customFormat="false" ht="21.75" hidden="false" customHeight="true" outlineLevel="0" collapsed="false">
      <c r="A22" s="5" t="s">
        <v>47</v>
      </c>
      <c r="B22" s="6" t="s">
        <v>48</v>
      </c>
      <c r="C22" s="7"/>
      <c r="D22" s="7"/>
      <c r="E22" s="7"/>
      <c r="F22" s="7"/>
      <c r="G22" s="8" t="n">
        <v>1</v>
      </c>
      <c r="H22" s="7"/>
      <c r="I22" s="7"/>
      <c r="J22" s="7"/>
      <c r="K22" s="7"/>
      <c r="L22" s="7"/>
      <c r="M22" s="7"/>
      <c r="N22" s="7"/>
    </row>
    <row r="23" customFormat="false" ht="27.75" hidden="false" customHeight="true" outlineLevel="0" collapsed="false">
      <c r="A23" s="11" t="s">
        <v>49</v>
      </c>
      <c r="B23" s="11"/>
      <c r="C23" s="11"/>
      <c r="D23" s="11"/>
      <c r="E23" s="11"/>
      <c r="F23" s="11"/>
      <c r="G23" s="11"/>
      <c r="H23" s="11"/>
      <c r="I23" s="11"/>
      <c r="J23" s="11"/>
      <c r="K23" s="11"/>
      <c r="L23" s="11"/>
      <c r="M23" s="11"/>
      <c r="N23" s="11"/>
      <c r="O23" s="11"/>
    </row>
    <row r="24" customFormat="false" ht="21.75" hidden="false" customHeight="true" outlineLevel="0" collapsed="false">
      <c r="A24" s="5" t="s">
        <v>50</v>
      </c>
      <c r="B24" s="6" t="s">
        <v>51</v>
      </c>
      <c r="C24" s="7"/>
      <c r="D24" s="7"/>
      <c r="E24" s="7"/>
      <c r="F24" s="7"/>
      <c r="G24" s="8" t="n">
        <v>2</v>
      </c>
      <c r="H24" s="7"/>
      <c r="I24" s="7"/>
      <c r="J24" s="7"/>
      <c r="K24" s="7"/>
      <c r="L24" s="7"/>
      <c r="M24" s="7"/>
      <c r="N24" s="7"/>
    </row>
    <row r="25" customFormat="false" ht="21.75" hidden="false" customHeight="true" outlineLevel="0" collapsed="false">
      <c r="A25" s="5" t="s">
        <v>52</v>
      </c>
      <c r="B25" s="6" t="s">
        <v>53</v>
      </c>
      <c r="C25" s="7"/>
      <c r="D25" s="7"/>
      <c r="E25" s="7"/>
      <c r="F25" s="7"/>
      <c r="G25" s="8" t="n">
        <v>3</v>
      </c>
      <c r="H25" s="7"/>
      <c r="I25" s="7"/>
      <c r="J25" s="7"/>
      <c r="K25" s="7"/>
      <c r="L25" s="7"/>
      <c r="M25" s="7"/>
      <c r="N25" s="7"/>
    </row>
    <row r="26" customFormat="false" ht="21.75" hidden="false" customHeight="true" outlineLevel="0" collapsed="false">
      <c r="A26" s="5" t="s">
        <v>54</v>
      </c>
      <c r="B26" s="6" t="s">
        <v>55</v>
      </c>
      <c r="C26" s="7"/>
      <c r="D26" s="7"/>
      <c r="E26" s="7"/>
      <c r="F26" s="7"/>
      <c r="G26" s="8" t="n">
        <v>48</v>
      </c>
      <c r="H26" s="7"/>
      <c r="I26" s="7"/>
      <c r="J26" s="7"/>
      <c r="K26" s="7"/>
      <c r="L26" s="7"/>
      <c r="M26" s="7"/>
      <c r="N26" s="7"/>
    </row>
    <row r="27" customFormat="false" ht="21.75" hidden="false" customHeight="true" outlineLevel="0" collapsed="false">
      <c r="A27" s="5" t="s">
        <v>56</v>
      </c>
      <c r="B27" s="6" t="s">
        <v>57</v>
      </c>
      <c r="C27" s="7"/>
      <c r="D27" s="7"/>
      <c r="E27" s="7"/>
      <c r="F27" s="7"/>
      <c r="G27" s="8" t="n">
        <v>1</v>
      </c>
      <c r="H27" s="7"/>
      <c r="I27" s="7"/>
      <c r="J27" s="7"/>
      <c r="K27" s="7"/>
      <c r="L27" s="7"/>
      <c r="M27" s="7"/>
      <c r="N27" s="7"/>
    </row>
    <row r="28" customFormat="false" ht="21.75" hidden="false" customHeight="true" outlineLevel="0" collapsed="false">
      <c r="A28" s="5" t="s">
        <v>58</v>
      </c>
      <c r="B28" s="6" t="s">
        <v>59</v>
      </c>
      <c r="C28" s="7"/>
      <c r="D28" s="7"/>
      <c r="E28" s="7"/>
      <c r="F28" s="7"/>
      <c r="G28" s="8" t="n">
        <v>14</v>
      </c>
      <c r="H28" s="7"/>
      <c r="I28" s="7"/>
      <c r="J28" s="7"/>
      <c r="K28" s="7"/>
      <c r="L28" s="7"/>
      <c r="M28" s="7"/>
      <c r="N28" s="7"/>
    </row>
    <row r="29" customFormat="false" ht="21.75" hidden="false" customHeight="true" outlineLevel="0" collapsed="false">
      <c r="A29" s="5" t="s">
        <v>60</v>
      </c>
      <c r="B29" s="6" t="s">
        <v>61</v>
      </c>
      <c r="C29" s="12"/>
      <c r="D29" s="12"/>
      <c r="E29" s="12"/>
      <c r="F29" s="12"/>
      <c r="G29" s="13" t="n">
        <v>0.92</v>
      </c>
      <c r="H29" s="12"/>
      <c r="I29" s="12"/>
      <c r="J29" s="12"/>
      <c r="K29" s="12"/>
      <c r="L29" s="12"/>
      <c r="M29" s="12"/>
      <c r="N29" s="12"/>
    </row>
    <row r="30" customFormat="false" ht="27.75" hidden="false" customHeight="true" outlineLevel="0" collapsed="false">
      <c r="A30" s="14" t="s">
        <v>62</v>
      </c>
      <c r="B30" s="14"/>
      <c r="C30" s="14"/>
      <c r="D30" s="14"/>
      <c r="E30" s="14"/>
      <c r="F30" s="14"/>
      <c r="G30" s="14"/>
      <c r="H30" s="14"/>
      <c r="I30" s="14"/>
      <c r="J30" s="14"/>
      <c r="K30" s="14"/>
      <c r="L30" s="14"/>
      <c r="M30" s="14"/>
      <c r="N30" s="14"/>
      <c r="O30" s="14"/>
    </row>
    <row r="31" customFormat="false" ht="21.75" hidden="false" customHeight="true" outlineLevel="0" collapsed="false">
      <c r="A31" s="5" t="s">
        <v>63</v>
      </c>
      <c r="B31" s="6" t="s">
        <v>64</v>
      </c>
      <c r="C31" s="7"/>
      <c r="D31" s="7"/>
      <c r="E31" s="7"/>
      <c r="F31" s="7"/>
      <c r="G31" s="8" t="n">
        <v>24</v>
      </c>
      <c r="H31" s="7"/>
      <c r="I31" s="7"/>
      <c r="J31" s="7"/>
      <c r="K31" s="7"/>
      <c r="L31" s="7"/>
      <c r="M31" s="7"/>
      <c r="N31" s="7"/>
    </row>
    <row r="32" customFormat="false" ht="21.75" hidden="false" customHeight="true" outlineLevel="0" collapsed="false">
      <c r="A32" s="5" t="s">
        <v>65</v>
      </c>
      <c r="B32" s="6" t="s">
        <v>26</v>
      </c>
      <c r="C32" s="7"/>
      <c r="D32" s="7"/>
      <c r="E32" s="7"/>
      <c r="F32" s="7"/>
      <c r="G32" s="8" t="n">
        <v>102</v>
      </c>
      <c r="H32" s="7"/>
      <c r="I32" s="7"/>
      <c r="J32" s="7"/>
      <c r="K32" s="7"/>
      <c r="L32" s="7"/>
      <c r="M32" s="7"/>
      <c r="N32" s="7"/>
    </row>
    <row r="33" customFormat="false" ht="21.75" hidden="false" customHeight="true" outlineLevel="0" collapsed="false">
      <c r="A33" s="5" t="s">
        <v>66</v>
      </c>
      <c r="B33" s="6" t="s">
        <v>67</v>
      </c>
      <c r="C33" s="7"/>
      <c r="D33" s="7"/>
      <c r="E33" s="7"/>
      <c r="F33" s="7"/>
      <c r="G33" s="8" t="n">
        <v>131</v>
      </c>
      <c r="H33" s="7"/>
      <c r="I33" s="7"/>
      <c r="J33" s="7"/>
      <c r="K33" s="7"/>
      <c r="L33" s="7"/>
      <c r="M33" s="7"/>
      <c r="N33" s="7"/>
    </row>
    <row r="34" customFormat="false" ht="21.75" hidden="false" customHeight="true" outlineLevel="0" collapsed="false">
      <c r="A34" s="5" t="s">
        <v>68</v>
      </c>
      <c r="B34" s="6" t="s">
        <v>26</v>
      </c>
      <c r="C34" s="7"/>
      <c r="D34" s="7"/>
      <c r="E34" s="7"/>
      <c r="F34" s="7"/>
      <c r="G34" s="8" t="n">
        <v>129</v>
      </c>
      <c r="H34" s="7"/>
      <c r="I34" s="7"/>
      <c r="J34" s="7"/>
      <c r="K34" s="7"/>
      <c r="L34" s="7"/>
      <c r="M34" s="7"/>
      <c r="N34" s="7"/>
    </row>
    <row r="35" customFormat="false" ht="21.75" hidden="false" customHeight="true" outlineLevel="0" collapsed="false">
      <c r="A35" s="5" t="s">
        <v>69</v>
      </c>
      <c r="B35" s="6" t="s">
        <v>70</v>
      </c>
      <c r="C35" s="7"/>
      <c r="D35" s="7"/>
      <c r="E35" s="7"/>
      <c r="F35" s="7"/>
      <c r="G35" s="8" t="n">
        <v>135</v>
      </c>
      <c r="H35" s="7"/>
      <c r="I35" s="7"/>
      <c r="J35" s="7"/>
      <c r="K35" s="7"/>
      <c r="L35" s="7"/>
      <c r="M35" s="7"/>
      <c r="N35" s="7"/>
    </row>
    <row r="36" customFormat="false" ht="27.75" hidden="false" customHeight="true" outlineLevel="0" collapsed="false">
      <c r="A36" s="15" t="s">
        <v>71</v>
      </c>
      <c r="B36" s="15"/>
      <c r="C36" s="15"/>
      <c r="D36" s="15"/>
      <c r="E36" s="15"/>
      <c r="F36" s="15"/>
      <c r="G36" s="15"/>
      <c r="H36" s="15"/>
      <c r="I36" s="15"/>
      <c r="J36" s="15"/>
      <c r="K36" s="15"/>
      <c r="L36" s="15"/>
      <c r="M36" s="15"/>
      <c r="N36" s="15"/>
      <c r="O36" s="15"/>
    </row>
    <row r="37" customFormat="false" ht="21.75" hidden="false" customHeight="true" outlineLevel="0" collapsed="false">
      <c r="A37" s="5" t="s">
        <v>72</v>
      </c>
      <c r="B37" s="6" t="s">
        <v>73</v>
      </c>
      <c r="C37" s="7"/>
      <c r="D37" s="7"/>
      <c r="E37" s="7"/>
      <c r="F37" s="7"/>
      <c r="G37" s="8" t="n">
        <v>2</v>
      </c>
      <c r="H37" s="7"/>
      <c r="I37" s="7"/>
      <c r="J37" s="7"/>
      <c r="K37" s="7"/>
      <c r="L37" s="7"/>
      <c r="M37" s="7"/>
      <c r="N37" s="7"/>
    </row>
    <row r="38" customFormat="false" ht="21.75" hidden="false" customHeight="true" outlineLevel="0" collapsed="false">
      <c r="A38" s="5" t="s">
        <v>74</v>
      </c>
      <c r="B38" s="6" t="s">
        <v>75</v>
      </c>
      <c r="C38" s="7"/>
      <c r="D38" s="7"/>
      <c r="E38" s="7"/>
      <c r="F38" s="7"/>
      <c r="G38" s="8" t="n">
        <v>3</v>
      </c>
      <c r="H38" s="7"/>
      <c r="I38" s="7"/>
      <c r="J38" s="7"/>
      <c r="K38" s="7"/>
      <c r="L38" s="7"/>
      <c r="M38" s="7"/>
      <c r="N38" s="7"/>
    </row>
    <row r="39" customFormat="false" ht="21.75" hidden="false" customHeight="true" outlineLevel="0" collapsed="false">
      <c r="A39" s="5" t="s">
        <v>76</v>
      </c>
      <c r="B39" s="6" t="s">
        <v>77</v>
      </c>
      <c r="C39" s="7"/>
      <c r="D39" s="7"/>
      <c r="E39" s="7"/>
      <c r="F39" s="7"/>
      <c r="G39" s="8" t="n">
        <v>3</v>
      </c>
      <c r="H39" s="7"/>
      <c r="I39" s="7"/>
      <c r="J39" s="7"/>
      <c r="K39" s="7"/>
      <c r="L39" s="7"/>
      <c r="M39" s="7"/>
      <c r="N39" s="7"/>
    </row>
    <row r="40" customFormat="false" ht="21.75" hidden="false" customHeight="true" outlineLevel="0" collapsed="false">
      <c r="A40" s="5" t="s">
        <v>78</v>
      </c>
      <c r="B40" s="6" t="s">
        <v>79</v>
      </c>
      <c r="C40" s="7"/>
      <c r="D40" s="7"/>
      <c r="E40" s="7"/>
      <c r="F40" s="7"/>
      <c r="G40" s="8" t="n">
        <v>7</v>
      </c>
      <c r="H40" s="7"/>
      <c r="I40" s="7"/>
      <c r="J40" s="7"/>
      <c r="K40" s="7"/>
      <c r="L40" s="7"/>
      <c r="M40" s="7"/>
      <c r="N40" s="7"/>
    </row>
    <row r="41" customFormat="false" ht="21.75" hidden="false" customHeight="true" outlineLevel="0" collapsed="false">
      <c r="A41" s="5" t="s">
        <v>80</v>
      </c>
      <c r="B41" s="6" t="s">
        <v>79</v>
      </c>
      <c r="C41" s="7"/>
      <c r="D41" s="7"/>
      <c r="E41" s="7"/>
      <c r="F41" s="7"/>
      <c r="G41" s="8" t="n">
        <v>7</v>
      </c>
      <c r="H41" s="7"/>
      <c r="I41" s="7"/>
      <c r="J41" s="7"/>
      <c r="K41" s="7"/>
      <c r="L41" s="7"/>
      <c r="M41" s="7"/>
      <c r="N41" s="7"/>
    </row>
    <row r="42" customFormat="false" ht="21.75" hidden="false" customHeight="true" outlineLevel="0" collapsed="false">
      <c r="A42" s="5" t="s">
        <v>81</v>
      </c>
      <c r="B42" s="6" t="s">
        <v>82</v>
      </c>
      <c r="C42" s="7"/>
      <c r="D42" s="7"/>
      <c r="E42" s="7"/>
      <c r="F42" s="7"/>
      <c r="G42" s="8" t="n">
        <v>9</v>
      </c>
      <c r="H42" s="7"/>
      <c r="I42" s="7"/>
      <c r="J42" s="7"/>
      <c r="K42" s="7"/>
      <c r="L42" s="7"/>
      <c r="M42" s="7"/>
      <c r="N42" s="7"/>
    </row>
    <row r="43" customFormat="false" ht="21.75" hidden="false" customHeight="true" outlineLevel="0" collapsed="false">
      <c r="A43" s="5" t="s">
        <v>83</v>
      </c>
      <c r="B43" s="6" t="s">
        <v>84</v>
      </c>
      <c r="C43" s="7"/>
      <c r="D43" s="7"/>
      <c r="E43" s="7"/>
      <c r="F43" s="7"/>
      <c r="G43" s="8" t="n">
        <v>8</v>
      </c>
      <c r="H43" s="7"/>
      <c r="I43" s="7"/>
      <c r="J43" s="7"/>
      <c r="K43" s="7"/>
      <c r="L43" s="7"/>
      <c r="M43" s="7"/>
      <c r="N43" s="7"/>
    </row>
    <row r="44" customFormat="false" ht="21.75" hidden="false" customHeight="true" outlineLevel="0" collapsed="false">
      <c r="A44" s="5" t="s">
        <v>85</v>
      </c>
      <c r="B44" s="6" t="s">
        <v>82</v>
      </c>
      <c r="C44" s="7"/>
      <c r="D44" s="7"/>
      <c r="E44" s="7"/>
      <c r="F44" s="7"/>
      <c r="G44" s="8" t="n">
        <v>26</v>
      </c>
      <c r="H44" s="7"/>
      <c r="I44" s="7"/>
      <c r="J44" s="7"/>
      <c r="K44" s="7"/>
      <c r="L44" s="7"/>
      <c r="M44" s="7"/>
      <c r="N44" s="7"/>
    </row>
    <row r="45" customFormat="false" ht="21.75" hidden="false" customHeight="true" outlineLevel="0" collapsed="false">
      <c r="A45" s="5" t="s">
        <v>86</v>
      </c>
      <c r="B45" s="6" t="s">
        <v>82</v>
      </c>
      <c r="C45" s="7"/>
      <c r="D45" s="7"/>
      <c r="E45" s="7"/>
      <c r="F45" s="7"/>
      <c r="G45" s="8" t="n">
        <v>5</v>
      </c>
      <c r="H45" s="7"/>
      <c r="I45" s="7"/>
      <c r="J45" s="7"/>
      <c r="K45" s="7"/>
      <c r="L45" s="7"/>
      <c r="M45" s="7"/>
      <c r="N45" s="7"/>
    </row>
    <row r="46" customFormat="false" ht="21.75" hidden="false" customHeight="true" outlineLevel="0" collapsed="false">
      <c r="A46" s="5" t="s">
        <v>87</v>
      </c>
      <c r="B46" s="6" t="s">
        <v>88</v>
      </c>
      <c r="C46" s="7"/>
      <c r="D46" s="7"/>
      <c r="E46" s="7"/>
      <c r="F46" s="7"/>
      <c r="G46" s="8" t="n">
        <v>4</v>
      </c>
      <c r="H46" s="7"/>
      <c r="I46" s="7"/>
      <c r="J46" s="7"/>
      <c r="K46" s="7"/>
      <c r="L46" s="7"/>
      <c r="M46" s="7"/>
      <c r="N46" s="7"/>
    </row>
    <row r="47" customFormat="false" ht="21.75" hidden="false" customHeight="true" outlineLevel="0" collapsed="false">
      <c r="A47" s="5" t="s">
        <v>89</v>
      </c>
      <c r="B47" s="6" t="s">
        <v>90</v>
      </c>
      <c r="C47" s="7"/>
      <c r="D47" s="7"/>
      <c r="E47" s="7"/>
      <c r="F47" s="7"/>
      <c r="G47" s="8" t="n">
        <v>42</v>
      </c>
      <c r="H47" s="7"/>
      <c r="I47" s="7"/>
      <c r="J47" s="7"/>
      <c r="K47" s="7"/>
      <c r="L47" s="7"/>
      <c r="M47" s="7"/>
      <c r="N47" s="7"/>
    </row>
    <row r="48" customFormat="false" ht="21.75" hidden="false" customHeight="true" outlineLevel="0" collapsed="false">
      <c r="A48" s="5" t="s">
        <v>91</v>
      </c>
      <c r="B48" s="6" t="s">
        <v>92</v>
      </c>
      <c r="C48" s="7"/>
      <c r="D48" s="7"/>
      <c r="E48" s="7"/>
      <c r="F48" s="7"/>
      <c r="G48" s="8" t="n">
        <v>42</v>
      </c>
      <c r="H48" s="7"/>
      <c r="I48" s="7"/>
      <c r="J48" s="7"/>
      <c r="K48" s="7"/>
      <c r="L48" s="7"/>
      <c r="M48" s="7"/>
      <c r="N48" s="7"/>
    </row>
    <row r="50" customFormat="false" ht="21.75" hidden="false" customHeight="true" outlineLevel="0" collapsed="false">
      <c r="A50" s="16" t="s">
        <v>93</v>
      </c>
      <c r="B50" s="16"/>
      <c r="C50" s="16"/>
      <c r="D50" s="16"/>
      <c r="E50" s="16"/>
      <c r="F50" s="16"/>
      <c r="G50" s="16"/>
      <c r="H50" s="16"/>
      <c r="I50" s="16"/>
      <c r="J50" s="16"/>
      <c r="K50" s="16"/>
      <c r="L50" s="16"/>
      <c r="M50" s="16"/>
      <c r="N50" s="16"/>
      <c r="O50" s="16"/>
    </row>
  </sheetData>
  <mergeCells count="9">
    <mergeCell ref="A1:O1"/>
    <mergeCell ref="A2:O2"/>
    <mergeCell ref="A5:O5"/>
    <mergeCell ref="A12:O12"/>
    <mergeCell ref="A17:O17"/>
    <mergeCell ref="A23:O23"/>
    <mergeCell ref="A30:O30"/>
    <mergeCell ref="A36:O36"/>
    <mergeCell ref="A50:O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V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32"/>
    <col collapsed="false" customWidth="true" hidden="false" outlineLevel="0" max="6" min="4" style="0" width="12"/>
    <col collapsed="false" customWidth="true" hidden="false" outlineLevel="0" max="7" min="7" style="0" width="32"/>
    <col collapsed="false" customWidth="true" hidden="false" outlineLevel="0" max="20" min="8" style="0" width="9"/>
    <col collapsed="false" customWidth="true" hidden="false" outlineLevel="0" max="21" min="21" style="0" width="10"/>
    <col collapsed="false" customWidth="true" hidden="false" outlineLevel="0" max="22" min="22" style="0" width="12"/>
  </cols>
  <sheetData>
    <row r="1" customFormat="false" ht="27.75" hidden="false" customHeight="true" outlineLevel="0" collapsed="false">
      <c r="A1" s="1" t="s">
        <v>94</v>
      </c>
      <c r="B1" s="1"/>
      <c r="C1" s="1"/>
      <c r="D1" s="1"/>
      <c r="E1" s="1"/>
      <c r="F1" s="1"/>
      <c r="G1" s="1"/>
      <c r="H1" s="1"/>
      <c r="I1" s="1"/>
      <c r="J1" s="1"/>
      <c r="K1" s="1"/>
      <c r="L1" s="1"/>
      <c r="M1" s="1"/>
      <c r="N1" s="1"/>
      <c r="O1" s="1"/>
      <c r="P1" s="1"/>
      <c r="Q1" s="1"/>
      <c r="R1" s="1"/>
      <c r="S1" s="1"/>
      <c r="T1" s="1"/>
      <c r="U1" s="1"/>
      <c r="V1" s="1"/>
    </row>
    <row r="2" customFormat="false" ht="21.75" hidden="false" customHeight="true" outlineLevel="0" collapsed="false">
      <c r="A2" s="2" t="s">
        <v>95</v>
      </c>
      <c r="B2" s="2"/>
      <c r="C2" s="2"/>
      <c r="D2" s="2"/>
      <c r="E2" s="2"/>
      <c r="F2" s="2"/>
      <c r="G2" s="2"/>
      <c r="H2" s="2"/>
      <c r="I2" s="2"/>
      <c r="J2" s="2"/>
      <c r="K2" s="2"/>
      <c r="L2" s="2"/>
      <c r="M2" s="2"/>
      <c r="N2" s="2"/>
      <c r="O2" s="2"/>
      <c r="P2" s="2"/>
      <c r="Q2" s="2"/>
      <c r="R2" s="2"/>
      <c r="S2" s="2"/>
      <c r="T2" s="2"/>
      <c r="U2" s="2"/>
      <c r="V2" s="2"/>
    </row>
    <row r="4" customFormat="false" ht="37.5" hidden="false" customHeight="true" outlineLevel="0" collapsed="false">
      <c r="A4" s="3" t="s">
        <v>96</v>
      </c>
      <c r="B4" s="3" t="s">
        <v>97</v>
      </c>
      <c r="C4" s="3" t="s">
        <v>98</v>
      </c>
      <c r="D4" s="3" t="s">
        <v>99</v>
      </c>
      <c r="E4" s="3" t="s">
        <v>100</v>
      </c>
      <c r="F4" s="3" t="s">
        <v>101</v>
      </c>
      <c r="G4" s="3" t="s">
        <v>102</v>
      </c>
      <c r="H4" s="3" t="s">
        <v>4</v>
      </c>
      <c r="I4" s="3" t="s">
        <v>5</v>
      </c>
      <c r="J4" s="3" t="s">
        <v>6</v>
      </c>
      <c r="K4" s="3" t="s">
        <v>7</v>
      </c>
      <c r="L4" s="3" t="s">
        <v>8</v>
      </c>
      <c r="M4" s="3" t="s">
        <v>9</v>
      </c>
      <c r="N4" s="3" t="s">
        <v>10</v>
      </c>
      <c r="O4" s="3" t="s">
        <v>11</v>
      </c>
      <c r="P4" s="3" t="s">
        <v>12</v>
      </c>
      <c r="Q4" s="3" t="s">
        <v>13</v>
      </c>
      <c r="R4" s="3" t="s">
        <v>14</v>
      </c>
      <c r="S4" s="3" t="s">
        <v>15</v>
      </c>
      <c r="T4" s="3" t="s">
        <v>103</v>
      </c>
      <c r="U4" s="3" t="s">
        <v>104</v>
      </c>
      <c r="V4" s="3" t="s">
        <v>105</v>
      </c>
    </row>
    <row r="5" customFormat="false" ht="31.5" hidden="false" customHeight="true" outlineLevel="0" collapsed="false">
      <c r="A5" s="17" t="s">
        <v>106</v>
      </c>
      <c r="B5" s="18" t="s">
        <v>107</v>
      </c>
      <c r="C5" s="19" t="s">
        <v>108</v>
      </c>
      <c r="D5" s="20" t="s">
        <v>109</v>
      </c>
      <c r="E5" s="21" t="s">
        <v>110</v>
      </c>
      <c r="F5" s="22" t="s">
        <v>111</v>
      </c>
      <c r="G5" s="23" t="s">
        <v>112</v>
      </c>
      <c r="H5" s="24" t="str">
        <f aca="false">IFERROR(Inputs!C8/Inputs!C7,"")</f>
        <v/>
      </c>
      <c r="I5" s="24" t="str">
        <f aca="false">IFERROR(Inputs!D8/Inputs!D7,"")</f>
        <v/>
      </c>
      <c r="J5" s="24" t="str">
        <f aca="false">IFERROR(Inputs!E8/Inputs!E7,"")</f>
        <v/>
      </c>
      <c r="K5" s="24" t="str">
        <f aca="false">IFERROR(Inputs!F8/Inputs!F7,"")</f>
        <v/>
      </c>
      <c r="L5" s="24" t="n">
        <f aca="false">IFERROR(Inputs!G8/Inputs!G7,"")</f>
        <v>0.996062992125984</v>
      </c>
      <c r="M5" s="24" t="str">
        <f aca="false">IFERROR(Inputs!H8/Inputs!H7,"")</f>
        <v/>
      </c>
      <c r="N5" s="24" t="str">
        <f aca="false">IFERROR(Inputs!I8/Inputs!I7,"")</f>
        <v/>
      </c>
      <c r="O5" s="24" t="str">
        <f aca="false">IFERROR(Inputs!J8/Inputs!J7,"")</f>
        <v/>
      </c>
      <c r="P5" s="24" t="str">
        <f aca="false">IFERROR(Inputs!K8/Inputs!K7,"")</f>
        <v/>
      </c>
      <c r="Q5" s="24" t="str">
        <f aca="false">IFERROR(Inputs!L8/Inputs!L7,"")</f>
        <v/>
      </c>
      <c r="R5" s="24" t="str">
        <f aca="false">IFERROR(Inputs!M8/Inputs!M7,"")</f>
        <v/>
      </c>
      <c r="S5" s="24" t="str">
        <f aca="false">IFERROR(Inputs!N8/Inputs!N7,"")</f>
        <v/>
      </c>
      <c r="T5" s="25" t="n">
        <f aca="false">IFERROR(LOOKUP(2,1/(H5:S5&lt;&gt;""),H5:S5),"")</f>
        <v>0.996062992125984</v>
      </c>
      <c r="U5" s="26" t="str">
        <f aca="false">IFERROR(IF(AND(COUNT(Q5:S5)&gt;0,COUNT(N5:P5)&gt;0),IF(AVERAGE(Q5:S5)&gt;AVERAGE(N5:P5),"▲ up",IF(AVERAGE(Q5:S5)&lt;AVERAGE(N5:P5),"▼ down","◆ flat")),""),"")</f>
        <v/>
      </c>
      <c r="V5" s="26" t="str">
        <f aca="false">IF(T5="","",IF(NOT(ISNUMBER(T5)),"n/a",IF(T5&gt;=0.99,"Green",IF(T5&gt;=0.97,"Amber","Red"))))</f>
        <v>Green</v>
      </c>
    </row>
    <row r="6" customFormat="false" ht="31.5" hidden="false" customHeight="true" outlineLevel="0" collapsed="false">
      <c r="A6" s="17" t="s">
        <v>106</v>
      </c>
      <c r="B6" s="18" t="s">
        <v>113</v>
      </c>
      <c r="C6" s="19" t="s">
        <v>114</v>
      </c>
      <c r="D6" s="20" t="s">
        <v>115</v>
      </c>
      <c r="E6" s="21" t="s">
        <v>116</v>
      </c>
      <c r="F6" s="22" t="s">
        <v>117</v>
      </c>
      <c r="G6" s="23" t="s">
        <v>118</v>
      </c>
      <c r="H6" s="27" t="str">
        <f aca="false">IFERROR(Inputs!C13/Inputs!C7,"")</f>
        <v/>
      </c>
      <c r="I6" s="27" t="str">
        <f aca="false">IFERROR(Inputs!D13/Inputs!D7,"")</f>
        <v/>
      </c>
      <c r="J6" s="27" t="str">
        <f aca="false">IFERROR(Inputs!E13/Inputs!E7,"")</f>
        <v/>
      </c>
      <c r="K6" s="27" t="str">
        <f aca="false">IFERROR(Inputs!F13/Inputs!F7,"")</f>
        <v/>
      </c>
      <c r="L6" s="27" t="n">
        <f aca="false">IFERROR(Inputs!G13/Inputs!G7,"")</f>
        <v>0.00393700787401575</v>
      </c>
      <c r="M6" s="27" t="str">
        <f aca="false">IFERROR(Inputs!H13/Inputs!H7,"")</f>
        <v/>
      </c>
      <c r="N6" s="27" t="str">
        <f aca="false">IFERROR(Inputs!I13/Inputs!I7,"")</f>
        <v/>
      </c>
      <c r="O6" s="27" t="str">
        <f aca="false">IFERROR(Inputs!J13/Inputs!J7,"")</f>
        <v/>
      </c>
      <c r="P6" s="27" t="str">
        <f aca="false">IFERROR(Inputs!K13/Inputs!K7,"")</f>
        <v/>
      </c>
      <c r="Q6" s="27" t="str">
        <f aca="false">IFERROR(Inputs!L13/Inputs!L7,"")</f>
        <v/>
      </c>
      <c r="R6" s="27" t="str">
        <f aca="false">IFERROR(Inputs!M13/Inputs!M7,"")</f>
        <v/>
      </c>
      <c r="S6" s="27" t="str">
        <f aca="false">IFERROR(Inputs!N13/Inputs!N7,"")</f>
        <v/>
      </c>
      <c r="T6" s="28" t="n">
        <f aca="false">IFERROR(LOOKUP(2,1/(H6:S6&lt;&gt;""),H6:S6),"")</f>
        <v>0.00393700787401575</v>
      </c>
      <c r="U6" s="26" t="str">
        <f aca="false">IFERROR(IF(AND(COUNT(Q6:S6)&gt;0,COUNT(N6:P6)&gt;0),IF(AVERAGE(Q6:S6)&gt;AVERAGE(N6:P6),"▲ up",IF(AVERAGE(Q6:S6)&lt;AVERAGE(N6:P6),"▼ down","◆ flat")),""),"")</f>
        <v/>
      </c>
      <c r="V6" s="26" t="str">
        <f aca="false">IF(T6="","",IF(NOT(ISNUMBER(T6)),"n/a",IF(T6&lt;=0.005,"Green",IF(T6&lt;=0.01,"Amber","Red"))))</f>
        <v>Green</v>
      </c>
    </row>
    <row r="7" customFormat="false" ht="31.5" hidden="false" customHeight="true" outlineLevel="0" collapsed="false">
      <c r="A7" s="17" t="s">
        <v>106</v>
      </c>
      <c r="B7" s="18" t="s">
        <v>119</v>
      </c>
      <c r="C7" s="19" t="s">
        <v>120</v>
      </c>
      <c r="D7" s="20" t="s">
        <v>121</v>
      </c>
      <c r="E7" s="21" t="s">
        <v>122</v>
      </c>
      <c r="F7" s="22" t="s">
        <v>123</v>
      </c>
      <c r="G7" s="23" t="s">
        <v>124</v>
      </c>
      <c r="H7" s="24" t="str">
        <f aca="false">IFERROR(Inputs!C14/Inputs!C8,"")</f>
        <v/>
      </c>
      <c r="I7" s="24" t="str">
        <f aca="false">IFERROR(Inputs!D14/Inputs!D8,"")</f>
        <v/>
      </c>
      <c r="J7" s="24" t="str">
        <f aca="false">IFERROR(Inputs!E14/Inputs!E8,"")</f>
        <v/>
      </c>
      <c r="K7" s="24" t="str">
        <f aca="false">IFERROR(Inputs!F14/Inputs!F8,"")</f>
        <v/>
      </c>
      <c r="L7" s="24" t="n">
        <f aca="false">IFERROR(Inputs!G14/Inputs!G8,"")</f>
        <v>0.0256916996047431</v>
      </c>
      <c r="M7" s="24" t="str">
        <f aca="false">IFERROR(Inputs!H14/Inputs!H8,"")</f>
        <v/>
      </c>
      <c r="N7" s="24" t="str">
        <f aca="false">IFERROR(Inputs!I14/Inputs!I8,"")</f>
        <v/>
      </c>
      <c r="O7" s="24" t="str">
        <f aca="false">IFERROR(Inputs!J14/Inputs!J8,"")</f>
        <v/>
      </c>
      <c r="P7" s="24" t="str">
        <f aca="false">IFERROR(Inputs!K14/Inputs!K8,"")</f>
        <v/>
      </c>
      <c r="Q7" s="24" t="str">
        <f aca="false">IFERROR(Inputs!L14/Inputs!L8,"")</f>
        <v/>
      </c>
      <c r="R7" s="24" t="str">
        <f aca="false">IFERROR(Inputs!M14/Inputs!M8,"")</f>
        <v/>
      </c>
      <c r="S7" s="24" t="str">
        <f aca="false">IFERROR(Inputs!N14/Inputs!N8,"")</f>
        <v/>
      </c>
      <c r="T7" s="25" t="n">
        <f aca="false">IFERROR(LOOKUP(2,1/(H7:S7&lt;&gt;""),H7:S7),"")</f>
        <v>0.0256916996047431</v>
      </c>
      <c r="U7" s="26" t="str">
        <f aca="false">IFERROR(IF(AND(COUNT(Q7:S7)&gt;0,COUNT(N7:P7)&gt;0),IF(AVERAGE(Q7:S7)&gt;AVERAGE(N7:P7),"▲ up",IF(AVERAGE(Q7:S7)&lt;AVERAGE(N7:P7),"▼ down","◆ flat")),""),"")</f>
        <v/>
      </c>
      <c r="V7" s="26" t="str">
        <f aca="false">IF(T7="","",IF(NOT(ISNUMBER(T7)),"n/a",IF(T7&lt;=0.03,"Green",IF(T7&lt;=0.05,"Amber","Red"))))</f>
        <v>Green</v>
      </c>
    </row>
    <row r="8" customFormat="false" ht="31.5" hidden="false" customHeight="true" outlineLevel="0" collapsed="false">
      <c r="A8" s="17" t="s">
        <v>106</v>
      </c>
      <c r="B8" s="18" t="s">
        <v>125</v>
      </c>
      <c r="C8" s="19" t="s">
        <v>126</v>
      </c>
      <c r="D8" s="20" t="s">
        <v>127</v>
      </c>
      <c r="E8" s="21" t="s">
        <v>128</v>
      </c>
      <c r="F8" s="22" t="s">
        <v>129</v>
      </c>
      <c r="G8" s="23" t="s">
        <v>130</v>
      </c>
      <c r="H8" s="24" t="str">
        <f aca="false">IFERROR(Inputs!C16/Inputs!C15,"")</f>
        <v/>
      </c>
      <c r="I8" s="24" t="str">
        <f aca="false">IFERROR(Inputs!D16/Inputs!D15,"")</f>
        <v/>
      </c>
      <c r="J8" s="24" t="str">
        <f aca="false">IFERROR(Inputs!E16/Inputs!E15,"")</f>
        <v/>
      </c>
      <c r="K8" s="24" t="str">
        <f aca="false">IFERROR(Inputs!F16/Inputs!F15,"")</f>
        <v/>
      </c>
      <c r="L8" s="24" t="n">
        <f aca="false">IFERROR(Inputs!G16/Inputs!G15,"")</f>
        <v>0.96969696969697</v>
      </c>
      <c r="M8" s="24" t="str">
        <f aca="false">IFERROR(Inputs!H16/Inputs!H15,"")</f>
        <v/>
      </c>
      <c r="N8" s="24" t="str">
        <f aca="false">IFERROR(Inputs!I16/Inputs!I15,"")</f>
        <v/>
      </c>
      <c r="O8" s="24" t="str">
        <f aca="false">IFERROR(Inputs!J16/Inputs!J15,"")</f>
        <v/>
      </c>
      <c r="P8" s="24" t="str">
        <f aca="false">IFERROR(Inputs!K16/Inputs!K15,"")</f>
        <v/>
      </c>
      <c r="Q8" s="24" t="str">
        <f aca="false">IFERROR(Inputs!L16/Inputs!L15,"")</f>
        <v/>
      </c>
      <c r="R8" s="24" t="str">
        <f aca="false">IFERROR(Inputs!M16/Inputs!M15,"")</f>
        <v/>
      </c>
      <c r="S8" s="24" t="str">
        <f aca="false">IFERROR(Inputs!N16/Inputs!N15,"")</f>
        <v/>
      </c>
      <c r="T8" s="25" t="n">
        <f aca="false">IFERROR(LOOKUP(2,1/(H8:S8&lt;&gt;""),H8:S8),"")</f>
        <v>0.96969696969697</v>
      </c>
      <c r="U8" s="26" t="str">
        <f aca="false">IFERROR(IF(AND(COUNT(Q8:S8)&gt;0,COUNT(N8:P8)&gt;0),IF(AVERAGE(Q8:S8)&gt;AVERAGE(N8:P8),"▲ up",IF(AVERAGE(Q8:S8)&lt;AVERAGE(N8:P8),"▼ down","◆ flat")),""),"")</f>
        <v/>
      </c>
      <c r="V8" s="26" t="str">
        <f aca="false">IF(T8="","",IF(NOT(ISNUMBER(T8)),"n/a",IF(T8&gt;=1,"Green",IF(T8&gt;=0.95,"Amber","Red"))))</f>
        <v>Amber</v>
      </c>
    </row>
    <row r="9" customFormat="false" ht="31.5" hidden="false" customHeight="true" outlineLevel="0" collapsed="false">
      <c r="A9" s="29" t="s">
        <v>131</v>
      </c>
      <c r="B9" s="30" t="s">
        <v>132</v>
      </c>
      <c r="C9" s="19" t="s">
        <v>133</v>
      </c>
      <c r="D9" s="20" t="s">
        <v>134</v>
      </c>
      <c r="E9" s="21" t="s">
        <v>135</v>
      </c>
      <c r="F9" s="22" t="s">
        <v>136</v>
      </c>
      <c r="G9" s="23" t="s">
        <v>137</v>
      </c>
      <c r="H9" s="31" t="str">
        <f aca="false">IFERROR((Inputs!C18/Inputs!C11)*1000,"")</f>
        <v/>
      </c>
      <c r="I9" s="31" t="str">
        <f aca="false">IFERROR((Inputs!D18/Inputs!D11)*1000,"")</f>
        <v/>
      </c>
      <c r="J9" s="31" t="str">
        <f aca="false">IFERROR((Inputs!E18/Inputs!E11)*1000,"")</f>
        <v/>
      </c>
      <c r="K9" s="31" t="str">
        <f aca="false">IFERROR((Inputs!F18/Inputs!F11)*1000,"")</f>
        <v/>
      </c>
      <c r="L9" s="31" t="n">
        <f aca="false">IFERROR((Inputs!G18/Inputs!G11)*1000,"")</f>
        <v>0.394736842105263</v>
      </c>
      <c r="M9" s="31" t="str">
        <f aca="false">IFERROR((Inputs!H18/Inputs!H11)*1000,"")</f>
        <v/>
      </c>
      <c r="N9" s="31" t="str">
        <f aca="false">IFERROR((Inputs!I18/Inputs!I11)*1000,"")</f>
        <v/>
      </c>
      <c r="O9" s="31" t="str">
        <f aca="false">IFERROR((Inputs!J18/Inputs!J11)*1000,"")</f>
        <v/>
      </c>
      <c r="P9" s="31" t="str">
        <f aca="false">IFERROR((Inputs!K18/Inputs!K11)*1000,"")</f>
        <v/>
      </c>
      <c r="Q9" s="31" t="str">
        <f aca="false">IFERROR((Inputs!L18/Inputs!L11)*1000,"")</f>
        <v/>
      </c>
      <c r="R9" s="31" t="str">
        <f aca="false">IFERROR((Inputs!M18/Inputs!M11)*1000,"")</f>
        <v/>
      </c>
      <c r="S9" s="31" t="str">
        <f aca="false">IFERROR((Inputs!N18/Inputs!N11)*1000,"")</f>
        <v/>
      </c>
      <c r="T9" s="32" t="n">
        <f aca="false">IFERROR(LOOKUP(2,1/(H9:S9&lt;&gt;""),H9:S9),"")</f>
        <v>0.394736842105263</v>
      </c>
      <c r="U9" s="26" t="str">
        <f aca="false">IFERROR(IF(AND(COUNT(Q9:S9)&gt;0,COUNT(N9:P9)&gt;0),IF(AVERAGE(Q9:S9)&gt;AVERAGE(N9:P9),"▲ up",IF(AVERAGE(Q9:S9)&lt;AVERAGE(N9:P9),"▼ down","◆ flat")),""),"")</f>
        <v/>
      </c>
      <c r="V9" s="26" t="str">
        <f aca="false">IF(T9="","",IF(NOT(ISNUMBER(T9)),"n/a",IF(T9&lt;=0.5,"Green",IF(T9&lt;=1,"Amber","Red"))))</f>
        <v>Green</v>
      </c>
    </row>
    <row r="10" customFormat="false" ht="31.5" hidden="false" customHeight="true" outlineLevel="0" collapsed="false">
      <c r="A10" s="29" t="s">
        <v>131</v>
      </c>
      <c r="B10" s="30" t="s">
        <v>138</v>
      </c>
      <c r="C10" s="19" t="s">
        <v>139</v>
      </c>
      <c r="D10" s="20" t="s">
        <v>140</v>
      </c>
      <c r="E10" s="21" t="s">
        <v>141</v>
      </c>
      <c r="F10" s="22" t="s">
        <v>142</v>
      </c>
      <c r="G10" s="23" t="s">
        <v>143</v>
      </c>
      <c r="H10" s="33" t="str">
        <f aca="false">IFERROR((Inputs!C19/Inputs!C9)*100,"")</f>
        <v/>
      </c>
      <c r="I10" s="33" t="str">
        <f aca="false">IFERROR((Inputs!D19/Inputs!D9)*100,"")</f>
        <v/>
      </c>
      <c r="J10" s="33" t="str">
        <f aca="false">IFERROR((Inputs!E19/Inputs!E9)*100,"")</f>
        <v/>
      </c>
      <c r="K10" s="33" t="str">
        <f aca="false">IFERROR((Inputs!F19/Inputs!F9)*100,"")</f>
        <v/>
      </c>
      <c r="L10" s="33" t="n">
        <f aca="false">IFERROR((Inputs!G19/Inputs!G9)*100,"")</f>
        <v>2.25</v>
      </c>
      <c r="M10" s="33" t="str">
        <f aca="false">IFERROR((Inputs!H19/Inputs!H9)*100,"")</f>
        <v/>
      </c>
      <c r="N10" s="33" t="str">
        <f aca="false">IFERROR((Inputs!I19/Inputs!I9)*100,"")</f>
        <v/>
      </c>
      <c r="O10" s="33" t="str">
        <f aca="false">IFERROR((Inputs!J19/Inputs!J9)*100,"")</f>
        <v/>
      </c>
      <c r="P10" s="33" t="str">
        <f aca="false">IFERROR((Inputs!K19/Inputs!K9)*100,"")</f>
        <v/>
      </c>
      <c r="Q10" s="33" t="str">
        <f aca="false">IFERROR((Inputs!L19/Inputs!L9)*100,"")</f>
        <v/>
      </c>
      <c r="R10" s="33" t="str">
        <f aca="false">IFERROR((Inputs!M19/Inputs!M9)*100,"")</f>
        <v/>
      </c>
      <c r="S10" s="33" t="str">
        <f aca="false">IFERROR((Inputs!N19/Inputs!N9)*100,"")</f>
        <v/>
      </c>
      <c r="T10" s="34" t="n">
        <f aca="false">IFERROR(LOOKUP(2,1/(H10:S10&lt;&gt;""),H10:S10),"")</f>
        <v>2.25</v>
      </c>
      <c r="U10" s="26" t="str">
        <f aca="false">IFERROR(IF(AND(COUNT(Q10:S10)&gt;0,COUNT(N10:P10)&gt;0),IF(AVERAGE(Q10:S10)&gt;AVERAGE(N10:P10),"▲ up",IF(AVERAGE(Q10:S10)&lt;AVERAGE(N10:P10),"▼ down","◆ flat")),""),"")</f>
        <v/>
      </c>
      <c r="V10" s="26" t="str">
        <f aca="false">IF(T10="","",IF(NOT(ISNUMBER(T10)),"n/a",IF(T10&lt;=3,"Green",IF(T10&lt;=5,"Amber","Red"))))</f>
        <v>Green</v>
      </c>
    </row>
    <row r="11" customFormat="false" ht="31.5" hidden="false" customHeight="true" outlineLevel="0" collapsed="false">
      <c r="A11" s="29" t="s">
        <v>131</v>
      </c>
      <c r="B11" s="30" t="s">
        <v>144</v>
      </c>
      <c r="C11" s="19" t="s">
        <v>145</v>
      </c>
      <c r="D11" s="20" t="s">
        <v>146</v>
      </c>
      <c r="E11" s="21" t="s">
        <v>147</v>
      </c>
      <c r="F11" s="22" t="s">
        <v>148</v>
      </c>
      <c r="G11" s="23" t="s">
        <v>149</v>
      </c>
      <c r="H11" s="35" t="n">
        <f aca="false">IFERROR(Inputs!C20,"")</f>
        <v>0</v>
      </c>
      <c r="I11" s="35" t="n">
        <f aca="false">IFERROR(Inputs!D20,"")</f>
        <v>0</v>
      </c>
      <c r="J11" s="35" t="n">
        <f aca="false">IFERROR(Inputs!E20,"")</f>
        <v>0</v>
      </c>
      <c r="K11" s="35" t="n">
        <f aca="false">IFERROR(Inputs!F20,"")</f>
        <v>0</v>
      </c>
      <c r="L11" s="35" t="n">
        <f aca="false">IFERROR(Inputs!G20,"")</f>
        <v>0</v>
      </c>
      <c r="M11" s="35" t="n">
        <f aca="false">IFERROR(Inputs!H20,"")</f>
        <v>0</v>
      </c>
      <c r="N11" s="35" t="n">
        <f aca="false">IFERROR(Inputs!I20,"")</f>
        <v>0</v>
      </c>
      <c r="O11" s="35" t="n">
        <f aca="false">IFERROR(Inputs!J20,"")</f>
        <v>0</v>
      </c>
      <c r="P11" s="35" t="n">
        <f aca="false">IFERROR(Inputs!K20,"")</f>
        <v>0</v>
      </c>
      <c r="Q11" s="35" t="n">
        <f aca="false">IFERROR(Inputs!L20,"")</f>
        <v>0</v>
      </c>
      <c r="R11" s="35" t="n">
        <f aca="false">IFERROR(Inputs!M20,"")</f>
        <v>0</v>
      </c>
      <c r="S11" s="35" t="n">
        <f aca="false">IFERROR(Inputs!N20,"")</f>
        <v>0</v>
      </c>
      <c r="T11" s="36" t="n">
        <f aca="false">IFERROR(LOOKUP(2,1/(H11:S11&lt;&gt;""),H11:S11),"")</f>
        <v>0</v>
      </c>
      <c r="U11" s="26" t="str">
        <f aca="false">IFERROR(IF(AND(COUNT(Q11:S11)&gt;0,COUNT(N11:P11)&gt;0),IF(AVERAGE(Q11:S11)&gt;AVERAGE(N11:P11),"▲ up",IF(AVERAGE(Q11:S11)&lt;AVERAGE(N11:P11),"▼ down","◆ flat")),""),"")</f>
        <v>◆ flat</v>
      </c>
      <c r="V11" s="26" t="str">
        <f aca="false">IF(T11="","",IF(NOT(ISNUMBER(T11)),"n/a",IF(T11=0,"Green",IF(T11&lt;=2,"Amber","Red"))))</f>
        <v>Green</v>
      </c>
    </row>
    <row r="12" customFormat="false" ht="31.5" hidden="false" customHeight="true" outlineLevel="0" collapsed="false">
      <c r="A12" s="29" t="s">
        <v>131</v>
      </c>
      <c r="B12" s="30" t="s">
        <v>150</v>
      </c>
      <c r="C12" s="19" t="s">
        <v>151</v>
      </c>
      <c r="D12" s="20" t="s">
        <v>127</v>
      </c>
      <c r="E12" s="21" t="s">
        <v>152</v>
      </c>
      <c r="F12" s="22" t="s">
        <v>153</v>
      </c>
      <c r="G12" s="23" t="s">
        <v>154</v>
      </c>
      <c r="H12" s="24" t="str">
        <f aca="false">IF(Inputs!C21=0,"n/a",IFERROR(Inputs!C22/Inputs!C21,""))</f>
        <v>n/a</v>
      </c>
      <c r="I12" s="24" t="str">
        <f aca="false">IF(Inputs!D21=0,"n/a",IFERROR(Inputs!D22/Inputs!D21,""))</f>
        <v>n/a</v>
      </c>
      <c r="J12" s="24" t="str">
        <f aca="false">IF(Inputs!E21=0,"n/a",IFERROR(Inputs!E22/Inputs!E21,""))</f>
        <v>n/a</v>
      </c>
      <c r="K12" s="24" t="str">
        <f aca="false">IF(Inputs!F21=0,"n/a",IFERROR(Inputs!F22/Inputs!F21,""))</f>
        <v>n/a</v>
      </c>
      <c r="L12" s="24" t="n">
        <f aca="false">IF(Inputs!G21=0,"n/a",IFERROR(Inputs!G22/Inputs!G21,""))</f>
        <v>1</v>
      </c>
      <c r="M12" s="24" t="str">
        <f aca="false">IF(Inputs!H21=0,"n/a",IFERROR(Inputs!H22/Inputs!H21,""))</f>
        <v>n/a</v>
      </c>
      <c r="N12" s="24" t="str">
        <f aca="false">IF(Inputs!I21=0,"n/a",IFERROR(Inputs!I22/Inputs!I21,""))</f>
        <v>n/a</v>
      </c>
      <c r="O12" s="24" t="str">
        <f aca="false">IF(Inputs!J21=0,"n/a",IFERROR(Inputs!J22/Inputs!J21,""))</f>
        <v>n/a</v>
      </c>
      <c r="P12" s="24" t="str">
        <f aca="false">IF(Inputs!K21=0,"n/a",IFERROR(Inputs!K22/Inputs!K21,""))</f>
        <v>n/a</v>
      </c>
      <c r="Q12" s="24" t="str">
        <f aca="false">IF(Inputs!L21=0,"n/a",IFERROR(Inputs!L22/Inputs!L21,""))</f>
        <v>n/a</v>
      </c>
      <c r="R12" s="24" t="str">
        <f aca="false">IF(Inputs!M21=0,"n/a",IFERROR(Inputs!M22/Inputs!M21,""))</f>
        <v>n/a</v>
      </c>
      <c r="S12" s="24" t="str">
        <f aca="false">IF(Inputs!N21=0,"n/a",IFERROR(Inputs!N22/Inputs!N21,""))</f>
        <v>n/a</v>
      </c>
      <c r="T12" s="37" t="str">
        <f aca="false">IFERROR(LOOKUP(2,1/(H12:S12&lt;&gt;""),H12:S12),"")</f>
        <v>n/a</v>
      </c>
      <c r="U12" s="26" t="str">
        <f aca="false">IFERROR(IF(AND(COUNT(Q12:S12)&gt;0,COUNT(N12:P12)&gt;0),IF(AVERAGE(Q12:S12)&gt;AVERAGE(N12:P12),"▲ up",IF(AVERAGE(Q12:S12)&lt;AVERAGE(N12:P12),"▼ down","◆ flat")),""),"")</f>
        <v/>
      </c>
      <c r="V12" s="26" t="str">
        <f aca="false">IF(T12="","",IF(NOT(ISNUMBER(T12)),"n/a",IF(T12&gt;=1,"Green",IF(T12&gt;=0.9,"Amber","Red"))))</f>
        <v>n/a</v>
      </c>
    </row>
    <row r="13" customFormat="false" ht="31.5" hidden="false" customHeight="true" outlineLevel="0" collapsed="false">
      <c r="A13" s="38" t="s">
        <v>155</v>
      </c>
      <c r="B13" s="39" t="s">
        <v>156</v>
      </c>
      <c r="C13" s="19" t="s">
        <v>157</v>
      </c>
      <c r="D13" s="20" t="s">
        <v>158</v>
      </c>
      <c r="E13" s="21" t="s">
        <v>158</v>
      </c>
      <c r="F13" s="22" t="s">
        <v>158</v>
      </c>
      <c r="G13" s="23" t="s">
        <v>159</v>
      </c>
      <c r="H13" s="35" t="n">
        <f aca="false">IFERROR(Inputs!C24,"")</f>
        <v>0</v>
      </c>
      <c r="I13" s="35" t="n">
        <f aca="false">IFERROR(Inputs!D24,"")</f>
        <v>0</v>
      </c>
      <c r="J13" s="35" t="n">
        <f aca="false">IFERROR(Inputs!E24,"")</f>
        <v>0</v>
      </c>
      <c r="K13" s="35" t="n">
        <f aca="false">IFERROR(Inputs!F24,"")</f>
        <v>0</v>
      </c>
      <c r="L13" s="35" t="n">
        <f aca="false">IFERROR(Inputs!G24,"")</f>
        <v>2</v>
      </c>
      <c r="M13" s="35" t="n">
        <f aca="false">IFERROR(Inputs!H24,"")</f>
        <v>0</v>
      </c>
      <c r="N13" s="35" t="n">
        <f aca="false">IFERROR(Inputs!I24,"")</f>
        <v>0</v>
      </c>
      <c r="O13" s="35" t="n">
        <f aca="false">IFERROR(Inputs!J24,"")</f>
        <v>0</v>
      </c>
      <c r="P13" s="35" t="n">
        <f aca="false">IFERROR(Inputs!K24,"")</f>
        <v>0</v>
      </c>
      <c r="Q13" s="35" t="n">
        <f aca="false">IFERROR(Inputs!L24,"")</f>
        <v>0</v>
      </c>
      <c r="R13" s="35" t="n">
        <f aca="false">IFERROR(Inputs!M24,"")</f>
        <v>0</v>
      </c>
      <c r="S13" s="35" t="n">
        <f aca="false">IFERROR(Inputs!N24,"")</f>
        <v>0</v>
      </c>
      <c r="T13" s="40" t="n">
        <f aca="false">IFERROR(LOOKUP(2,1/(H13:S13&lt;&gt;""),H13:S13),"")</f>
        <v>2</v>
      </c>
      <c r="U13" s="26" t="str">
        <f aca="false">IFERROR(IF(AND(COUNT(Q13:S13)&gt;0,COUNT(N13:P13)&gt;0),IF(AVERAGE(Q13:S13)&gt;AVERAGE(N13:P13),"▲ up",IF(AVERAGE(Q13:S13)&lt;AVERAGE(N13:P13),"▼ down","◆ flat")),""),"")</f>
        <v>◆ flat</v>
      </c>
      <c r="V13" s="26" t="str">
        <f aca="false">IF(T13="","","Trend")</f>
        <v>Trend</v>
      </c>
    </row>
    <row r="14" customFormat="false" ht="31.5" hidden="false" customHeight="true" outlineLevel="0" collapsed="false">
      <c r="A14" s="38" t="s">
        <v>155</v>
      </c>
      <c r="B14" s="39" t="s">
        <v>160</v>
      </c>
      <c r="C14" s="19" t="s">
        <v>161</v>
      </c>
      <c r="D14" s="20" t="s">
        <v>162</v>
      </c>
      <c r="E14" s="21" t="s">
        <v>163</v>
      </c>
      <c r="F14" s="22" t="s">
        <v>164</v>
      </c>
      <c r="G14" s="23" t="s">
        <v>165</v>
      </c>
      <c r="H14" s="33" t="str">
        <f aca="false">IF(Inputs!C25=0,"n/a",IFERROR(Inputs!C26/Inputs!C25,""))</f>
        <v>n/a</v>
      </c>
      <c r="I14" s="33" t="str">
        <f aca="false">IF(Inputs!D25=0,"n/a",IFERROR(Inputs!D26/Inputs!D25,""))</f>
        <v>n/a</v>
      </c>
      <c r="J14" s="33" t="str">
        <f aca="false">IF(Inputs!E25=0,"n/a",IFERROR(Inputs!E26/Inputs!E25,""))</f>
        <v>n/a</v>
      </c>
      <c r="K14" s="33" t="str">
        <f aca="false">IF(Inputs!F25=0,"n/a",IFERROR(Inputs!F26/Inputs!F25,""))</f>
        <v>n/a</v>
      </c>
      <c r="L14" s="33" t="n">
        <f aca="false">IF(Inputs!G25=0,"n/a",IFERROR(Inputs!G26/Inputs!G25,""))</f>
        <v>16</v>
      </c>
      <c r="M14" s="33" t="str">
        <f aca="false">IF(Inputs!H25=0,"n/a",IFERROR(Inputs!H26/Inputs!H25,""))</f>
        <v>n/a</v>
      </c>
      <c r="N14" s="33" t="str">
        <f aca="false">IF(Inputs!I25=0,"n/a",IFERROR(Inputs!I26/Inputs!I25,""))</f>
        <v>n/a</v>
      </c>
      <c r="O14" s="33" t="str">
        <f aca="false">IF(Inputs!J25=0,"n/a",IFERROR(Inputs!J26/Inputs!J25,""))</f>
        <v>n/a</v>
      </c>
      <c r="P14" s="33" t="str">
        <f aca="false">IF(Inputs!K25=0,"n/a",IFERROR(Inputs!K26/Inputs!K25,""))</f>
        <v>n/a</v>
      </c>
      <c r="Q14" s="33" t="str">
        <f aca="false">IF(Inputs!L25=0,"n/a",IFERROR(Inputs!L26/Inputs!L25,""))</f>
        <v>n/a</v>
      </c>
      <c r="R14" s="33" t="str">
        <f aca="false">IF(Inputs!M25=0,"n/a",IFERROR(Inputs!M26/Inputs!M25,""))</f>
        <v>n/a</v>
      </c>
      <c r="S14" s="33" t="str">
        <f aca="false">IF(Inputs!N25=0,"n/a",IFERROR(Inputs!N26/Inputs!N25,""))</f>
        <v>n/a</v>
      </c>
      <c r="T14" s="41" t="str">
        <f aca="false">IFERROR(LOOKUP(2,1/(H14:S14&lt;&gt;""),H14:S14),"")</f>
        <v>n/a</v>
      </c>
      <c r="U14" s="26" t="str">
        <f aca="false">IFERROR(IF(AND(COUNT(Q14:S14)&gt;0,COUNT(N14:P14)&gt;0),IF(AVERAGE(Q14:S14)&gt;AVERAGE(N14:P14),"▲ up",IF(AVERAGE(Q14:S14)&lt;AVERAGE(N14:P14),"▼ down","◆ flat")),""),"")</f>
        <v/>
      </c>
      <c r="V14" s="26" t="str">
        <f aca="false">IF(T14="","",IF(NOT(ISNUMBER(T14)),"n/a",IF(T14&lt;=20,"Green",IF(T14&lt;=30,"Amber","Red"))))</f>
        <v>n/a</v>
      </c>
    </row>
    <row r="15" customFormat="false" ht="31.5" hidden="false" customHeight="true" outlineLevel="0" collapsed="false">
      <c r="A15" s="38" t="s">
        <v>155</v>
      </c>
      <c r="B15" s="39" t="s">
        <v>166</v>
      </c>
      <c r="C15" s="19" t="s">
        <v>167</v>
      </c>
      <c r="D15" s="20" t="s">
        <v>158</v>
      </c>
      <c r="E15" s="21" t="s">
        <v>158</v>
      </c>
      <c r="F15" s="22" t="s">
        <v>158</v>
      </c>
      <c r="G15" s="23" t="s">
        <v>168</v>
      </c>
      <c r="H15" s="24" t="str">
        <f aca="false">IF(Inputs!C25=0,"n/a",IFERROR(Inputs!C27/Inputs!C25,""))</f>
        <v>n/a</v>
      </c>
      <c r="I15" s="24" t="str">
        <f aca="false">IF(Inputs!D25=0,"n/a",IFERROR(Inputs!D27/Inputs!D25,""))</f>
        <v>n/a</v>
      </c>
      <c r="J15" s="24" t="str">
        <f aca="false">IF(Inputs!E25=0,"n/a",IFERROR(Inputs!E27/Inputs!E25,""))</f>
        <v>n/a</v>
      </c>
      <c r="K15" s="24" t="str">
        <f aca="false">IF(Inputs!F25=0,"n/a",IFERROR(Inputs!F27/Inputs!F25,""))</f>
        <v>n/a</v>
      </c>
      <c r="L15" s="24" t="n">
        <f aca="false">IF(Inputs!G25=0,"n/a",IFERROR(Inputs!G27/Inputs!G25,""))</f>
        <v>0.333333333333333</v>
      </c>
      <c r="M15" s="24" t="str">
        <f aca="false">IF(Inputs!H25=0,"n/a",IFERROR(Inputs!H27/Inputs!H25,""))</f>
        <v>n/a</v>
      </c>
      <c r="N15" s="24" t="str">
        <f aca="false">IF(Inputs!I25=0,"n/a",IFERROR(Inputs!I27/Inputs!I25,""))</f>
        <v>n/a</v>
      </c>
      <c r="O15" s="24" t="str">
        <f aca="false">IF(Inputs!J25=0,"n/a",IFERROR(Inputs!J27/Inputs!J25,""))</f>
        <v>n/a</v>
      </c>
      <c r="P15" s="24" t="str">
        <f aca="false">IF(Inputs!K25=0,"n/a",IFERROR(Inputs!K27/Inputs!K25,""))</f>
        <v>n/a</v>
      </c>
      <c r="Q15" s="24" t="str">
        <f aca="false">IF(Inputs!L25=0,"n/a",IFERROR(Inputs!L27/Inputs!L25,""))</f>
        <v>n/a</v>
      </c>
      <c r="R15" s="24" t="str">
        <f aca="false">IF(Inputs!M25=0,"n/a",IFERROR(Inputs!M27/Inputs!M25,""))</f>
        <v>n/a</v>
      </c>
      <c r="S15" s="24" t="str">
        <f aca="false">IF(Inputs!N25=0,"n/a",IFERROR(Inputs!N27/Inputs!N25,""))</f>
        <v>n/a</v>
      </c>
      <c r="T15" s="42" t="str">
        <f aca="false">IFERROR(LOOKUP(2,1/(H15:S15&lt;&gt;""),H15:S15),"")</f>
        <v>n/a</v>
      </c>
      <c r="U15" s="26" t="str">
        <f aca="false">IFERROR(IF(AND(COUNT(Q15:S15)&gt;0,COUNT(N15:P15)&gt;0),IF(AVERAGE(Q15:S15)&gt;AVERAGE(N15:P15),"▲ up",IF(AVERAGE(Q15:S15)&lt;AVERAGE(N15:P15),"▼ down","◆ flat")),""),"")</f>
        <v/>
      </c>
      <c r="V15" s="26" t="str">
        <f aca="false">IF(T15="","","Trend")</f>
        <v>Trend</v>
      </c>
    </row>
    <row r="16" customFormat="false" ht="31.5" hidden="false" customHeight="true" outlineLevel="0" collapsed="false">
      <c r="A16" s="38" t="s">
        <v>155</v>
      </c>
      <c r="B16" s="39" t="s">
        <v>169</v>
      </c>
      <c r="C16" s="19" t="s">
        <v>170</v>
      </c>
      <c r="D16" s="20" t="s">
        <v>171</v>
      </c>
      <c r="E16" s="21" t="s">
        <v>172</v>
      </c>
      <c r="F16" s="22" t="s">
        <v>173</v>
      </c>
      <c r="G16" s="23" t="s">
        <v>174</v>
      </c>
      <c r="H16" s="24" t="n">
        <f aca="false">IFERROR(Inputs!C29,"")</f>
        <v>0</v>
      </c>
      <c r="I16" s="24" t="n">
        <f aca="false">IFERROR(Inputs!D29,"")</f>
        <v>0</v>
      </c>
      <c r="J16" s="24" t="n">
        <f aca="false">IFERROR(Inputs!E29,"")</f>
        <v>0</v>
      </c>
      <c r="K16" s="24" t="n">
        <f aca="false">IFERROR(Inputs!F29,"")</f>
        <v>0</v>
      </c>
      <c r="L16" s="24" t="n">
        <f aca="false">IFERROR(Inputs!G29,"")</f>
        <v>0.92</v>
      </c>
      <c r="M16" s="24" t="n">
        <f aca="false">IFERROR(Inputs!H29,"")</f>
        <v>0</v>
      </c>
      <c r="N16" s="24" t="n">
        <f aca="false">IFERROR(Inputs!I29,"")</f>
        <v>0</v>
      </c>
      <c r="O16" s="24" t="n">
        <f aca="false">IFERROR(Inputs!J29,"")</f>
        <v>0</v>
      </c>
      <c r="P16" s="24" t="n">
        <f aca="false">IFERROR(Inputs!K29,"")</f>
        <v>0</v>
      </c>
      <c r="Q16" s="24" t="n">
        <f aca="false">IFERROR(Inputs!L29,"")</f>
        <v>0</v>
      </c>
      <c r="R16" s="24" t="n">
        <f aca="false">IFERROR(Inputs!M29,"")</f>
        <v>0</v>
      </c>
      <c r="S16" s="24" t="n">
        <f aca="false">IFERROR(Inputs!N29,"")</f>
        <v>0</v>
      </c>
      <c r="T16" s="42" t="n">
        <f aca="false">IFERROR(LOOKUP(2,1/(H16:S16&lt;&gt;""),H16:S16),"")</f>
        <v>0.92</v>
      </c>
      <c r="U16" s="26" t="str">
        <f aca="false">IFERROR(IF(AND(COUNT(Q16:S16)&gt;0,COUNT(N16:P16)&gt;0),IF(AVERAGE(Q16:S16)&gt;AVERAGE(N16:P16),"▲ up",IF(AVERAGE(Q16:S16)&lt;AVERAGE(N16:P16),"▼ down","◆ flat")),""),"")</f>
        <v>◆ flat</v>
      </c>
      <c r="V16" s="26" t="str">
        <f aca="false">IF(T16="","",IF(NOT(ISNUMBER(T16)),"n/a",IF(T16&gt;=0.9,"Green",IF(T16&gt;=0.8,"Amber","Red"))))</f>
        <v>Green</v>
      </c>
    </row>
    <row r="17" customFormat="false" ht="31.5" hidden="false" customHeight="true" outlineLevel="0" collapsed="false">
      <c r="A17" s="38" t="s">
        <v>155</v>
      </c>
      <c r="B17" s="39" t="s">
        <v>58</v>
      </c>
      <c r="C17" s="19" t="s">
        <v>157</v>
      </c>
      <c r="D17" s="20" t="s">
        <v>158</v>
      </c>
      <c r="E17" s="21" t="s">
        <v>158</v>
      </c>
      <c r="F17" s="22" t="s">
        <v>158</v>
      </c>
      <c r="G17" s="23" t="s">
        <v>175</v>
      </c>
      <c r="H17" s="35" t="n">
        <f aca="false">IFERROR(Inputs!C28,"")</f>
        <v>0</v>
      </c>
      <c r="I17" s="35" t="n">
        <f aca="false">IFERROR(Inputs!D28,"")</f>
        <v>0</v>
      </c>
      <c r="J17" s="35" t="n">
        <f aca="false">IFERROR(Inputs!E28,"")</f>
        <v>0</v>
      </c>
      <c r="K17" s="35" t="n">
        <f aca="false">IFERROR(Inputs!F28,"")</f>
        <v>0</v>
      </c>
      <c r="L17" s="35" t="n">
        <f aca="false">IFERROR(Inputs!G28,"")</f>
        <v>14</v>
      </c>
      <c r="M17" s="35" t="n">
        <f aca="false">IFERROR(Inputs!H28,"")</f>
        <v>0</v>
      </c>
      <c r="N17" s="35" t="n">
        <f aca="false">IFERROR(Inputs!I28,"")</f>
        <v>0</v>
      </c>
      <c r="O17" s="35" t="n">
        <f aca="false">IFERROR(Inputs!J28,"")</f>
        <v>0</v>
      </c>
      <c r="P17" s="35" t="n">
        <f aca="false">IFERROR(Inputs!K28,"")</f>
        <v>0</v>
      </c>
      <c r="Q17" s="35" t="n">
        <f aca="false">IFERROR(Inputs!L28,"")</f>
        <v>0</v>
      </c>
      <c r="R17" s="35" t="n">
        <f aca="false">IFERROR(Inputs!M28,"")</f>
        <v>0</v>
      </c>
      <c r="S17" s="35" t="n">
        <f aca="false">IFERROR(Inputs!N28,"")</f>
        <v>0</v>
      </c>
      <c r="T17" s="40" t="n">
        <f aca="false">IFERROR(LOOKUP(2,1/(H17:S17&lt;&gt;""),H17:S17),"")</f>
        <v>14</v>
      </c>
      <c r="U17" s="26" t="str">
        <f aca="false">IFERROR(IF(AND(COUNT(Q17:S17)&gt;0,COUNT(N17:P17)&gt;0),IF(AVERAGE(Q17:S17)&gt;AVERAGE(N17:P17),"▲ up",IF(AVERAGE(Q17:S17)&lt;AVERAGE(N17:P17),"▼ down","◆ flat")),""),"")</f>
        <v>◆ flat</v>
      </c>
      <c r="V17" s="26" t="str">
        <f aca="false">IF(T17="","","Trend")</f>
        <v>Trend</v>
      </c>
    </row>
    <row r="18" customFormat="false" ht="31.5" hidden="false" customHeight="true" outlineLevel="0" collapsed="false">
      <c r="A18" s="43" t="s">
        <v>176</v>
      </c>
      <c r="B18" s="44" t="s">
        <v>177</v>
      </c>
      <c r="C18" s="19" t="s">
        <v>178</v>
      </c>
      <c r="D18" s="20" t="s">
        <v>179</v>
      </c>
      <c r="E18" s="21" t="s">
        <v>180</v>
      </c>
      <c r="F18" s="22" t="s">
        <v>181</v>
      </c>
      <c r="G18" s="23" t="s">
        <v>182</v>
      </c>
      <c r="H18" s="24" t="str">
        <f aca="false">IFERROR(Inputs!C31/Inputs!C10,"")</f>
        <v/>
      </c>
      <c r="I18" s="24" t="str">
        <f aca="false">IFERROR(Inputs!D31/Inputs!D10,"")</f>
        <v/>
      </c>
      <c r="J18" s="24" t="str">
        <f aca="false">IFERROR(Inputs!E31/Inputs!E10,"")</f>
        <v/>
      </c>
      <c r="K18" s="24" t="str">
        <f aca="false">IFERROR(Inputs!F31/Inputs!F10,"")</f>
        <v/>
      </c>
      <c r="L18" s="24" t="n">
        <f aca="false">IFERROR(Inputs!G31/Inputs!G10,"")</f>
        <v>0.177777777777778</v>
      </c>
      <c r="M18" s="24" t="str">
        <f aca="false">IFERROR(Inputs!H31/Inputs!H10,"")</f>
        <v/>
      </c>
      <c r="N18" s="24" t="str">
        <f aca="false">IFERROR(Inputs!I31/Inputs!I10,"")</f>
        <v/>
      </c>
      <c r="O18" s="24" t="str">
        <f aca="false">IFERROR(Inputs!J31/Inputs!J10,"")</f>
        <v/>
      </c>
      <c r="P18" s="24" t="str">
        <f aca="false">IFERROR(Inputs!K31/Inputs!K10,"")</f>
        <v/>
      </c>
      <c r="Q18" s="24" t="str">
        <f aca="false">IFERROR(Inputs!L31/Inputs!L10,"")</f>
        <v/>
      </c>
      <c r="R18" s="24" t="str">
        <f aca="false">IFERROR(Inputs!M31/Inputs!M10,"")</f>
        <v/>
      </c>
      <c r="S18" s="24" t="str">
        <f aca="false">IFERROR(Inputs!N31/Inputs!N10,"")</f>
        <v/>
      </c>
      <c r="T18" s="45" t="n">
        <f aca="false">IFERROR(LOOKUP(2,1/(H18:S18&lt;&gt;""),H18:S18),"")</f>
        <v>0.177777777777778</v>
      </c>
      <c r="U18" s="26" t="str">
        <f aca="false">IFERROR(IF(AND(COUNT(Q18:S18)&gt;0,COUNT(N18:P18)&gt;0),IF(AVERAGE(Q18:S18)&gt;AVERAGE(N18:P18),"▲ up",IF(AVERAGE(Q18:S18)&lt;AVERAGE(N18:P18),"▼ down","◆ flat")),""),"")</f>
        <v/>
      </c>
      <c r="V18" s="26" t="str">
        <f aca="false">IF(T18="","",IF(NOT(ISNUMBER(T18)),"n/a",IF(T18&lt;=0.2,"Green",IF(T18&lt;=0.3,"Amber","Red"))))</f>
        <v>Green</v>
      </c>
    </row>
    <row r="19" customFormat="false" ht="31.5" hidden="false" customHeight="true" outlineLevel="0" collapsed="false">
      <c r="A19" s="43" t="s">
        <v>176</v>
      </c>
      <c r="B19" s="44" t="s">
        <v>183</v>
      </c>
      <c r="C19" s="19" t="s">
        <v>184</v>
      </c>
      <c r="D19" s="20" t="s">
        <v>185</v>
      </c>
      <c r="E19" s="21" t="s">
        <v>186</v>
      </c>
      <c r="F19" s="22" t="s">
        <v>187</v>
      </c>
      <c r="G19" s="23" t="s">
        <v>188</v>
      </c>
      <c r="H19" s="24" t="str">
        <f aca="false">IFERROR(Inputs!C32/(Inputs!C10*22),"")</f>
        <v/>
      </c>
      <c r="I19" s="24" t="str">
        <f aca="false">IFERROR(Inputs!D32/(Inputs!D10*22),"")</f>
        <v/>
      </c>
      <c r="J19" s="24" t="str">
        <f aca="false">IFERROR(Inputs!E32/(Inputs!E10*22),"")</f>
        <v/>
      </c>
      <c r="K19" s="24" t="str">
        <f aca="false">IFERROR(Inputs!F32/(Inputs!F10*22),"")</f>
        <v/>
      </c>
      <c r="L19" s="24" t="n">
        <f aca="false">IFERROR(Inputs!G32/(Inputs!G10*22),"")</f>
        <v>0.0343434343434343</v>
      </c>
      <c r="M19" s="24" t="str">
        <f aca="false">IFERROR(Inputs!H32/(Inputs!H10*22),"")</f>
        <v/>
      </c>
      <c r="N19" s="24" t="str">
        <f aca="false">IFERROR(Inputs!I32/(Inputs!I10*22),"")</f>
        <v/>
      </c>
      <c r="O19" s="24" t="str">
        <f aca="false">IFERROR(Inputs!J32/(Inputs!J10*22),"")</f>
        <v/>
      </c>
      <c r="P19" s="24" t="str">
        <f aca="false">IFERROR(Inputs!K32/(Inputs!K10*22),"")</f>
        <v/>
      </c>
      <c r="Q19" s="24" t="str">
        <f aca="false">IFERROR(Inputs!L32/(Inputs!L10*22),"")</f>
        <v/>
      </c>
      <c r="R19" s="24" t="str">
        <f aca="false">IFERROR(Inputs!M32/(Inputs!M10*22),"")</f>
        <v/>
      </c>
      <c r="S19" s="24" t="str">
        <f aca="false">IFERROR(Inputs!N32/(Inputs!N10*22),"")</f>
        <v/>
      </c>
      <c r="T19" s="45" t="n">
        <f aca="false">IFERROR(LOOKUP(2,1/(H19:S19&lt;&gt;""),H19:S19),"")</f>
        <v>0.0343434343434343</v>
      </c>
      <c r="U19" s="26" t="str">
        <f aca="false">IFERROR(IF(AND(COUNT(Q19:S19)&gt;0,COUNT(N19:P19)&gt;0),IF(AVERAGE(Q19:S19)&gt;AVERAGE(N19:P19),"▲ up",IF(AVERAGE(Q19:S19)&lt;AVERAGE(N19:P19),"▼ down","◆ flat")),""),"")</f>
        <v/>
      </c>
      <c r="V19" s="26" t="str">
        <f aca="false">IF(T19="","",IF(NOT(ISNUMBER(T19)),"n/a",IF(T19&lt;=0.04,"Green",IF(T19&lt;=0.06,"Amber","Red"))))</f>
        <v>Green</v>
      </c>
    </row>
    <row r="20" customFormat="false" ht="31.5" hidden="false" customHeight="true" outlineLevel="0" collapsed="false">
      <c r="A20" s="43" t="s">
        <v>176</v>
      </c>
      <c r="B20" s="44" t="s">
        <v>189</v>
      </c>
      <c r="C20" s="19" t="s">
        <v>190</v>
      </c>
      <c r="D20" s="20" t="s">
        <v>191</v>
      </c>
      <c r="E20" s="21" t="s">
        <v>192</v>
      </c>
      <c r="F20" s="22" t="s">
        <v>153</v>
      </c>
      <c r="G20" s="23" t="s">
        <v>193</v>
      </c>
      <c r="H20" s="24" t="str">
        <f aca="false">IFERROR(Inputs!C33/Inputs!C10,"")</f>
        <v/>
      </c>
      <c r="I20" s="24" t="str">
        <f aca="false">IFERROR(Inputs!D33/Inputs!D10,"")</f>
        <v/>
      </c>
      <c r="J20" s="24" t="str">
        <f aca="false">IFERROR(Inputs!E33/Inputs!E10,"")</f>
        <v/>
      </c>
      <c r="K20" s="24" t="str">
        <f aca="false">IFERROR(Inputs!F33/Inputs!F10,"")</f>
        <v/>
      </c>
      <c r="L20" s="24" t="n">
        <f aca="false">IFERROR(Inputs!G33/Inputs!G10,"")</f>
        <v>0.97037037037037</v>
      </c>
      <c r="M20" s="24" t="str">
        <f aca="false">IFERROR(Inputs!H33/Inputs!H10,"")</f>
        <v/>
      </c>
      <c r="N20" s="24" t="str">
        <f aca="false">IFERROR(Inputs!I33/Inputs!I10,"")</f>
        <v/>
      </c>
      <c r="O20" s="24" t="str">
        <f aca="false">IFERROR(Inputs!J33/Inputs!J10,"")</f>
        <v/>
      </c>
      <c r="P20" s="24" t="str">
        <f aca="false">IFERROR(Inputs!K33/Inputs!K10,"")</f>
        <v/>
      </c>
      <c r="Q20" s="24" t="str">
        <f aca="false">IFERROR(Inputs!L33/Inputs!L10,"")</f>
        <v/>
      </c>
      <c r="R20" s="24" t="str">
        <f aca="false">IFERROR(Inputs!M33/Inputs!M10,"")</f>
        <v/>
      </c>
      <c r="S20" s="24" t="str">
        <f aca="false">IFERROR(Inputs!N33/Inputs!N10,"")</f>
        <v/>
      </c>
      <c r="T20" s="45" t="n">
        <f aca="false">IFERROR(LOOKUP(2,1/(H20:S20&lt;&gt;""),H20:S20),"")</f>
        <v>0.97037037037037</v>
      </c>
      <c r="U20" s="26" t="str">
        <f aca="false">IFERROR(IF(AND(COUNT(Q20:S20)&gt;0,COUNT(N20:P20)&gt;0),IF(AVERAGE(Q20:S20)&gt;AVERAGE(N20:P20),"▲ up",IF(AVERAGE(Q20:S20)&lt;AVERAGE(N20:P20),"▼ down","◆ flat")),""),"")</f>
        <v/>
      </c>
      <c r="V20" s="26" t="str">
        <f aca="false">IF(T20="","",IF(NOT(ISNUMBER(T20)),"n/a",IF(T20&gt;=0.95,"Green",IF(T20&gt;=0.9,"Amber","Red"))))</f>
        <v>Green</v>
      </c>
    </row>
    <row r="21" customFormat="false" ht="31.5" hidden="false" customHeight="true" outlineLevel="0" collapsed="false">
      <c r="A21" s="43" t="s">
        <v>176</v>
      </c>
      <c r="B21" s="44" t="s">
        <v>194</v>
      </c>
      <c r="C21" s="19" t="s">
        <v>195</v>
      </c>
      <c r="D21" s="20" t="s">
        <v>191</v>
      </c>
      <c r="E21" s="21" t="s">
        <v>192</v>
      </c>
      <c r="F21" s="22" t="s">
        <v>153</v>
      </c>
      <c r="G21" s="23" t="s">
        <v>193</v>
      </c>
      <c r="H21" s="24" t="str">
        <f aca="false">IFERROR(Inputs!C34/Inputs!C10,"")</f>
        <v/>
      </c>
      <c r="I21" s="24" t="str">
        <f aca="false">IFERROR(Inputs!D34/Inputs!D10,"")</f>
        <v/>
      </c>
      <c r="J21" s="24" t="str">
        <f aca="false">IFERROR(Inputs!E34/Inputs!E10,"")</f>
        <v/>
      </c>
      <c r="K21" s="24" t="str">
        <f aca="false">IFERROR(Inputs!F34/Inputs!F10,"")</f>
        <v/>
      </c>
      <c r="L21" s="24" t="n">
        <f aca="false">IFERROR(Inputs!G34/Inputs!G10,"")</f>
        <v>0.955555555555556</v>
      </c>
      <c r="M21" s="24" t="str">
        <f aca="false">IFERROR(Inputs!H34/Inputs!H10,"")</f>
        <v/>
      </c>
      <c r="N21" s="24" t="str">
        <f aca="false">IFERROR(Inputs!I34/Inputs!I10,"")</f>
        <v/>
      </c>
      <c r="O21" s="24" t="str">
        <f aca="false">IFERROR(Inputs!J34/Inputs!J10,"")</f>
        <v/>
      </c>
      <c r="P21" s="24" t="str">
        <f aca="false">IFERROR(Inputs!K34/Inputs!K10,"")</f>
        <v/>
      </c>
      <c r="Q21" s="24" t="str">
        <f aca="false">IFERROR(Inputs!L34/Inputs!L10,"")</f>
        <v/>
      </c>
      <c r="R21" s="24" t="str">
        <f aca="false">IFERROR(Inputs!M34/Inputs!M10,"")</f>
        <v/>
      </c>
      <c r="S21" s="24" t="str">
        <f aca="false">IFERROR(Inputs!N34/Inputs!N10,"")</f>
        <v/>
      </c>
      <c r="T21" s="45" t="n">
        <f aca="false">IFERROR(LOOKUP(2,1/(H21:S21&lt;&gt;""),H21:S21),"")</f>
        <v>0.955555555555556</v>
      </c>
      <c r="U21" s="26" t="str">
        <f aca="false">IFERROR(IF(AND(COUNT(Q21:S21)&gt;0,COUNT(N21:P21)&gt;0),IF(AVERAGE(Q21:S21)&gt;AVERAGE(N21:P21),"▲ up",IF(AVERAGE(Q21:S21)&lt;AVERAGE(N21:P21),"▼ down","◆ flat")),""),"")</f>
        <v/>
      </c>
      <c r="V21" s="26" t="str">
        <f aca="false">IF(T21="","",IF(NOT(ISNUMBER(T21)),"n/a",IF(T21&gt;=0.95,"Green",IF(T21&gt;=0.9,"Amber","Red"))))</f>
        <v>Green</v>
      </c>
    </row>
    <row r="22" customFormat="false" ht="31.5" hidden="false" customHeight="true" outlineLevel="0" collapsed="false">
      <c r="A22" s="43" t="s">
        <v>176</v>
      </c>
      <c r="B22" s="44" t="s">
        <v>196</v>
      </c>
      <c r="C22" s="19" t="s">
        <v>197</v>
      </c>
      <c r="D22" s="20" t="s">
        <v>127</v>
      </c>
      <c r="E22" s="21" t="s">
        <v>198</v>
      </c>
      <c r="F22" s="22" t="s">
        <v>199</v>
      </c>
      <c r="G22" s="23" t="s">
        <v>200</v>
      </c>
      <c r="H22" s="24" t="str">
        <f aca="false">IFERROR(Inputs!C35/Inputs!C10,"")</f>
        <v/>
      </c>
      <c r="I22" s="24" t="str">
        <f aca="false">IFERROR(Inputs!D35/Inputs!D10,"")</f>
        <v/>
      </c>
      <c r="J22" s="24" t="str">
        <f aca="false">IFERROR(Inputs!E35/Inputs!E10,"")</f>
        <v/>
      </c>
      <c r="K22" s="24" t="str">
        <f aca="false">IFERROR(Inputs!F35/Inputs!F10,"")</f>
        <v/>
      </c>
      <c r="L22" s="24" t="n">
        <f aca="false">IFERROR(Inputs!G35/Inputs!G10,"")</f>
        <v>1</v>
      </c>
      <c r="M22" s="24" t="str">
        <f aca="false">IFERROR(Inputs!H35/Inputs!H10,"")</f>
        <v/>
      </c>
      <c r="N22" s="24" t="str">
        <f aca="false">IFERROR(Inputs!I35/Inputs!I10,"")</f>
        <v/>
      </c>
      <c r="O22" s="24" t="str">
        <f aca="false">IFERROR(Inputs!J35/Inputs!J10,"")</f>
        <v/>
      </c>
      <c r="P22" s="24" t="str">
        <f aca="false">IFERROR(Inputs!K35/Inputs!K10,"")</f>
        <v/>
      </c>
      <c r="Q22" s="24" t="str">
        <f aca="false">IFERROR(Inputs!L35/Inputs!L10,"")</f>
        <v/>
      </c>
      <c r="R22" s="24" t="str">
        <f aca="false">IFERROR(Inputs!M35/Inputs!M10,"")</f>
        <v/>
      </c>
      <c r="S22" s="24" t="str">
        <f aca="false">IFERROR(Inputs!N35/Inputs!N10,"")</f>
        <v/>
      </c>
      <c r="T22" s="45" t="n">
        <f aca="false">IFERROR(LOOKUP(2,1/(H22:S22&lt;&gt;""),H22:S22),"")</f>
        <v>1</v>
      </c>
      <c r="U22" s="26" t="str">
        <f aca="false">IFERROR(IF(AND(COUNT(Q22:S22)&gt;0,COUNT(N22:P22)&gt;0),IF(AVERAGE(Q22:S22)&gt;AVERAGE(N22:P22),"▲ up",IF(AVERAGE(Q22:S22)&lt;AVERAGE(N22:P22),"▼ down","◆ flat")),""),"")</f>
        <v/>
      </c>
      <c r="V22" s="26" t="str">
        <f aca="false">IF(T22="","",IF(NOT(ISNUMBER(T22)),"n/a",IF(T22&gt;=1,"Green",IF(T22&gt;=0.99,"Amber","Red"))))</f>
        <v>Green</v>
      </c>
    </row>
    <row r="23" customFormat="false" ht="31.5" hidden="false" customHeight="true" outlineLevel="0" collapsed="false">
      <c r="A23" s="46" t="s">
        <v>201</v>
      </c>
      <c r="B23" s="47" t="s">
        <v>72</v>
      </c>
      <c r="C23" s="19" t="s">
        <v>157</v>
      </c>
      <c r="D23" s="20" t="s">
        <v>158</v>
      </c>
      <c r="E23" s="21" t="s">
        <v>158</v>
      </c>
      <c r="F23" s="22" t="s">
        <v>158</v>
      </c>
      <c r="G23" s="23" t="s">
        <v>202</v>
      </c>
      <c r="H23" s="35" t="n">
        <f aca="false">IFERROR(Inputs!C37,"")</f>
        <v>0</v>
      </c>
      <c r="I23" s="35" t="n">
        <f aca="false">IFERROR(Inputs!D37,"")</f>
        <v>0</v>
      </c>
      <c r="J23" s="35" t="n">
        <f aca="false">IFERROR(Inputs!E37,"")</f>
        <v>0</v>
      </c>
      <c r="K23" s="35" t="n">
        <f aca="false">IFERROR(Inputs!F37,"")</f>
        <v>0</v>
      </c>
      <c r="L23" s="35" t="n">
        <f aca="false">IFERROR(Inputs!G37,"")</f>
        <v>2</v>
      </c>
      <c r="M23" s="35" t="n">
        <f aca="false">IFERROR(Inputs!H37,"")</f>
        <v>0</v>
      </c>
      <c r="N23" s="35" t="n">
        <f aca="false">IFERROR(Inputs!I37,"")</f>
        <v>0</v>
      </c>
      <c r="O23" s="35" t="n">
        <f aca="false">IFERROR(Inputs!J37,"")</f>
        <v>0</v>
      </c>
      <c r="P23" s="35" t="n">
        <f aca="false">IFERROR(Inputs!K37,"")</f>
        <v>0</v>
      </c>
      <c r="Q23" s="35" t="n">
        <f aca="false">IFERROR(Inputs!L37,"")</f>
        <v>0</v>
      </c>
      <c r="R23" s="35" t="n">
        <f aca="false">IFERROR(Inputs!M37,"")</f>
        <v>0</v>
      </c>
      <c r="S23" s="35" t="n">
        <f aca="false">IFERROR(Inputs!N37,"")</f>
        <v>0</v>
      </c>
      <c r="T23" s="8" t="n">
        <f aca="false">IFERROR(LOOKUP(2,1/(H23:S23&lt;&gt;""),H23:S23),"")</f>
        <v>2</v>
      </c>
      <c r="U23" s="26" t="str">
        <f aca="false">IFERROR(IF(AND(COUNT(Q23:S23)&gt;0,COUNT(N23:P23)&gt;0),IF(AVERAGE(Q23:S23)&gt;AVERAGE(N23:P23),"▲ up",IF(AVERAGE(Q23:S23)&lt;AVERAGE(N23:P23),"▼ down","◆ flat")),""),"")</f>
        <v>◆ flat</v>
      </c>
      <c r="V23" s="26" t="str">
        <f aca="false">IF(T23="","","Trend")</f>
        <v>Trend</v>
      </c>
    </row>
    <row r="24" customFormat="false" ht="31.5" hidden="false" customHeight="true" outlineLevel="0" collapsed="false">
      <c r="A24" s="46" t="s">
        <v>201</v>
      </c>
      <c r="B24" s="47" t="s">
        <v>203</v>
      </c>
      <c r="C24" s="19" t="s">
        <v>204</v>
      </c>
      <c r="D24" s="20" t="s">
        <v>127</v>
      </c>
      <c r="E24" s="21" t="s">
        <v>205</v>
      </c>
      <c r="F24" s="22" t="s">
        <v>205</v>
      </c>
      <c r="G24" s="23" t="s">
        <v>206</v>
      </c>
      <c r="H24" s="24" t="str">
        <f aca="false">IF(Inputs!C38=0,"n/a",IFERROR(Inputs!C39/Inputs!C38,""))</f>
        <v>n/a</v>
      </c>
      <c r="I24" s="24" t="str">
        <f aca="false">IF(Inputs!D38=0,"n/a",IFERROR(Inputs!D39/Inputs!D38,""))</f>
        <v>n/a</v>
      </c>
      <c r="J24" s="24" t="str">
        <f aca="false">IF(Inputs!E38=0,"n/a",IFERROR(Inputs!E39/Inputs!E38,""))</f>
        <v>n/a</v>
      </c>
      <c r="K24" s="24" t="str">
        <f aca="false">IF(Inputs!F38=0,"n/a",IFERROR(Inputs!F39/Inputs!F38,""))</f>
        <v>n/a</v>
      </c>
      <c r="L24" s="24" t="n">
        <f aca="false">IF(Inputs!G38=0,"n/a",IFERROR(Inputs!G39/Inputs!G38,""))</f>
        <v>1</v>
      </c>
      <c r="M24" s="24" t="str">
        <f aca="false">IF(Inputs!H38=0,"n/a",IFERROR(Inputs!H39/Inputs!H38,""))</f>
        <v>n/a</v>
      </c>
      <c r="N24" s="24" t="str">
        <f aca="false">IF(Inputs!I38=0,"n/a",IFERROR(Inputs!I39/Inputs!I38,""))</f>
        <v>n/a</v>
      </c>
      <c r="O24" s="24" t="str">
        <f aca="false">IF(Inputs!J38=0,"n/a",IFERROR(Inputs!J39/Inputs!J38,""))</f>
        <v>n/a</v>
      </c>
      <c r="P24" s="24" t="str">
        <f aca="false">IF(Inputs!K38=0,"n/a",IFERROR(Inputs!K39/Inputs!K38,""))</f>
        <v>n/a</v>
      </c>
      <c r="Q24" s="24" t="str">
        <f aca="false">IF(Inputs!L38=0,"n/a",IFERROR(Inputs!L39/Inputs!L38,""))</f>
        <v>n/a</v>
      </c>
      <c r="R24" s="24" t="str">
        <f aca="false">IF(Inputs!M38=0,"n/a",IFERROR(Inputs!M39/Inputs!M38,""))</f>
        <v>n/a</v>
      </c>
      <c r="S24" s="24" t="str">
        <f aca="false">IF(Inputs!N38=0,"n/a",IFERROR(Inputs!N39/Inputs!N38,""))</f>
        <v>n/a</v>
      </c>
      <c r="T24" s="13" t="str">
        <f aca="false">IFERROR(LOOKUP(2,1/(H24:S24&lt;&gt;""),H24:S24),"")</f>
        <v>n/a</v>
      </c>
      <c r="U24" s="26" t="str">
        <f aca="false">IFERROR(IF(AND(COUNT(Q24:S24)&gt;0,COUNT(N24:P24)&gt;0),IF(AVERAGE(Q24:S24)&gt;AVERAGE(N24:P24),"▲ up",IF(AVERAGE(Q24:S24)&lt;AVERAGE(N24:P24),"▼ down","◆ flat")),""),"")</f>
        <v/>
      </c>
      <c r="V24" s="26" t="str">
        <f aca="false">IF(T24="","",IF(NOT(ISNUMBER(T24)),"n/a",IF(T24&gt;=1,"Green",IF(T24&gt;=0.999,"Amber","Red"))))</f>
        <v>n/a</v>
      </c>
    </row>
    <row r="25" customFormat="false" ht="31.5" hidden="false" customHeight="true" outlineLevel="0" collapsed="false">
      <c r="A25" s="46" t="s">
        <v>201</v>
      </c>
      <c r="B25" s="47" t="s">
        <v>207</v>
      </c>
      <c r="C25" s="19" t="s">
        <v>208</v>
      </c>
      <c r="D25" s="20" t="s">
        <v>191</v>
      </c>
      <c r="E25" s="21" t="s">
        <v>209</v>
      </c>
      <c r="F25" s="22" t="s">
        <v>210</v>
      </c>
      <c r="G25" s="23" t="s">
        <v>211</v>
      </c>
      <c r="H25" s="24" t="str">
        <f aca="false">IFERROR(Inputs!C41/Inputs!C40,"")</f>
        <v/>
      </c>
      <c r="I25" s="24" t="str">
        <f aca="false">IFERROR(Inputs!D41/Inputs!D40,"")</f>
        <v/>
      </c>
      <c r="J25" s="24" t="str">
        <f aca="false">IFERROR(Inputs!E41/Inputs!E40,"")</f>
        <v/>
      </c>
      <c r="K25" s="24" t="str">
        <f aca="false">IFERROR(Inputs!F41/Inputs!F40,"")</f>
        <v/>
      </c>
      <c r="L25" s="24" t="n">
        <f aca="false">IFERROR(Inputs!G41/Inputs!G40,"")</f>
        <v>1</v>
      </c>
      <c r="M25" s="24" t="str">
        <f aca="false">IFERROR(Inputs!H41/Inputs!H40,"")</f>
        <v/>
      </c>
      <c r="N25" s="24" t="str">
        <f aca="false">IFERROR(Inputs!I41/Inputs!I40,"")</f>
        <v/>
      </c>
      <c r="O25" s="24" t="str">
        <f aca="false">IFERROR(Inputs!J41/Inputs!J40,"")</f>
        <v/>
      </c>
      <c r="P25" s="24" t="str">
        <f aca="false">IFERROR(Inputs!K41/Inputs!K40,"")</f>
        <v/>
      </c>
      <c r="Q25" s="24" t="str">
        <f aca="false">IFERROR(Inputs!L41/Inputs!L40,"")</f>
        <v/>
      </c>
      <c r="R25" s="24" t="str">
        <f aca="false">IFERROR(Inputs!M41/Inputs!M40,"")</f>
        <v/>
      </c>
      <c r="S25" s="24" t="str">
        <f aca="false">IFERROR(Inputs!N41/Inputs!N40,"")</f>
        <v/>
      </c>
      <c r="T25" s="13" t="n">
        <f aca="false">IFERROR(LOOKUP(2,1/(H25:S25&lt;&gt;""),H25:S25),"")</f>
        <v>1</v>
      </c>
      <c r="U25" s="26" t="str">
        <f aca="false">IFERROR(IF(AND(COUNT(Q25:S25)&gt;0,COUNT(N25:P25)&gt;0),IF(AVERAGE(Q25:S25)&gt;AVERAGE(N25:P25),"▲ up",IF(AVERAGE(Q25:S25)&lt;AVERAGE(N25:P25),"▼ down","◆ flat")),""),"")</f>
        <v/>
      </c>
      <c r="V25" s="26" t="str">
        <f aca="false">IF(T25="","",IF(NOT(ISNUMBER(T25)),"n/a",IF(T25&gt;=0.95,"Green",IF(T25&gt;=0.85,"Amber","Red"))))</f>
        <v>Green</v>
      </c>
    </row>
    <row r="26" customFormat="false" ht="31.5" hidden="false" customHeight="true" outlineLevel="0" collapsed="false">
      <c r="A26" s="46" t="s">
        <v>201</v>
      </c>
      <c r="B26" s="47" t="s">
        <v>212</v>
      </c>
      <c r="C26" s="19" t="s">
        <v>213</v>
      </c>
      <c r="D26" s="20" t="s">
        <v>171</v>
      </c>
      <c r="E26" s="21" t="s">
        <v>214</v>
      </c>
      <c r="F26" s="22" t="s">
        <v>173</v>
      </c>
      <c r="G26" s="23" t="s">
        <v>215</v>
      </c>
      <c r="H26" s="24" t="str">
        <f aca="false">IF(Inputs!C42=0,"n/a",IFERROR(Inputs!C43/Inputs!C42,""))</f>
        <v>n/a</v>
      </c>
      <c r="I26" s="24" t="str">
        <f aca="false">IF(Inputs!D42=0,"n/a",IFERROR(Inputs!D43/Inputs!D42,""))</f>
        <v>n/a</v>
      </c>
      <c r="J26" s="24" t="str">
        <f aca="false">IF(Inputs!E42=0,"n/a",IFERROR(Inputs!E43/Inputs!E42,""))</f>
        <v>n/a</v>
      </c>
      <c r="K26" s="24" t="str">
        <f aca="false">IF(Inputs!F42=0,"n/a",IFERROR(Inputs!F43/Inputs!F42,""))</f>
        <v>n/a</v>
      </c>
      <c r="L26" s="24" t="n">
        <f aca="false">IF(Inputs!G42=0,"n/a",IFERROR(Inputs!G43/Inputs!G42,""))</f>
        <v>0.888888888888889</v>
      </c>
      <c r="M26" s="24" t="str">
        <f aca="false">IF(Inputs!H42=0,"n/a",IFERROR(Inputs!H43/Inputs!H42,""))</f>
        <v>n/a</v>
      </c>
      <c r="N26" s="24" t="str">
        <f aca="false">IF(Inputs!I42=0,"n/a",IFERROR(Inputs!I43/Inputs!I42,""))</f>
        <v>n/a</v>
      </c>
      <c r="O26" s="24" t="str">
        <f aca="false">IF(Inputs!J42=0,"n/a",IFERROR(Inputs!J43/Inputs!J42,""))</f>
        <v>n/a</v>
      </c>
      <c r="P26" s="24" t="str">
        <f aca="false">IF(Inputs!K42=0,"n/a",IFERROR(Inputs!K43/Inputs!K42,""))</f>
        <v>n/a</v>
      </c>
      <c r="Q26" s="24" t="str">
        <f aca="false">IF(Inputs!L42=0,"n/a",IFERROR(Inputs!L43/Inputs!L42,""))</f>
        <v>n/a</v>
      </c>
      <c r="R26" s="24" t="str">
        <f aca="false">IF(Inputs!M42=0,"n/a",IFERROR(Inputs!M43/Inputs!M42,""))</f>
        <v>n/a</v>
      </c>
      <c r="S26" s="24" t="str">
        <f aca="false">IF(Inputs!N42=0,"n/a",IFERROR(Inputs!N43/Inputs!N42,""))</f>
        <v>n/a</v>
      </c>
      <c r="T26" s="13" t="str">
        <f aca="false">IFERROR(LOOKUP(2,1/(H26:S26&lt;&gt;""),H26:S26),"")</f>
        <v>n/a</v>
      </c>
      <c r="U26" s="26" t="str">
        <f aca="false">IFERROR(IF(AND(COUNT(Q26:S26)&gt;0,COUNT(N26:P26)&gt;0),IF(AVERAGE(Q26:S26)&gt;AVERAGE(N26:P26),"▲ up",IF(AVERAGE(Q26:S26)&lt;AVERAGE(N26:P26),"▼ down","◆ flat")),""),"")</f>
        <v/>
      </c>
      <c r="V26" s="26" t="str">
        <f aca="false">IF(T26="","",IF(NOT(ISNUMBER(T26)),"n/a",IF(T26&gt;=0.9,"Green",IF(T26&gt;=0.8,"Amber","Red"))))</f>
        <v>n/a</v>
      </c>
    </row>
    <row r="27" customFormat="false" ht="31.5" hidden="false" customHeight="true" outlineLevel="0" collapsed="false">
      <c r="A27" s="46" t="s">
        <v>201</v>
      </c>
      <c r="B27" s="47" t="s">
        <v>85</v>
      </c>
      <c r="C27" s="19" t="s">
        <v>157</v>
      </c>
      <c r="D27" s="20" t="s">
        <v>158</v>
      </c>
      <c r="E27" s="21" t="s">
        <v>158</v>
      </c>
      <c r="F27" s="22" t="s">
        <v>158</v>
      </c>
      <c r="G27" s="23" t="s">
        <v>216</v>
      </c>
      <c r="H27" s="35" t="n">
        <f aca="false">IFERROR(Inputs!C44,"")</f>
        <v>0</v>
      </c>
      <c r="I27" s="35" t="n">
        <f aca="false">IFERROR(Inputs!D44,"")</f>
        <v>0</v>
      </c>
      <c r="J27" s="35" t="n">
        <f aca="false">IFERROR(Inputs!E44,"")</f>
        <v>0</v>
      </c>
      <c r="K27" s="35" t="n">
        <f aca="false">IFERROR(Inputs!F44,"")</f>
        <v>0</v>
      </c>
      <c r="L27" s="35" t="n">
        <f aca="false">IFERROR(Inputs!G44,"")</f>
        <v>26</v>
      </c>
      <c r="M27" s="35" t="n">
        <f aca="false">IFERROR(Inputs!H44,"")</f>
        <v>0</v>
      </c>
      <c r="N27" s="35" t="n">
        <f aca="false">IFERROR(Inputs!I44,"")</f>
        <v>0</v>
      </c>
      <c r="O27" s="35" t="n">
        <f aca="false">IFERROR(Inputs!J44,"")</f>
        <v>0</v>
      </c>
      <c r="P27" s="35" t="n">
        <f aca="false">IFERROR(Inputs!K44,"")</f>
        <v>0</v>
      </c>
      <c r="Q27" s="35" t="n">
        <f aca="false">IFERROR(Inputs!L44,"")</f>
        <v>0</v>
      </c>
      <c r="R27" s="35" t="n">
        <f aca="false">IFERROR(Inputs!M44,"")</f>
        <v>0</v>
      </c>
      <c r="S27" s="35" t="n">
        <f aca="false">IFERROR(Inputs!N44,"")</f>
        <v>0</v>
      </c>
      <c r="T27" s="8" t="n">
        <f aca="false">IFERROR(LOOKUP(2,1/(H27:S27&lt;&gt;""),H27:S27),"")</f>
        <v>26</v>
      </c>
      <c r="U27" s="26" t="str">
        <f aca="false">IFERROR(IF(AND(COUNT(Q27:S27)&gt;0,COUNT(N27:P27)&gt;0),IF(AVERAGE(Q27:S27)&gt;AVERAGE(N27:P27),"▲ up",IF(AVERAGE(Q27:S27)&lt;AVERAGE(N27:P27),"▼ down","◆ flat")),""),"")</f>
        <v>◆ flat</v>
      </c>
      <c r="V27" s="26" t="str">
        <f aca="false">IF(T27="","","Trend")</f>
        <v>Trend</v>
      </c>
    </row>
    <row r="28" customFormat="false" ht="31.5" hidden="false" customHeight="true" outlineLevel="0" collapsed="false">
      <c r="A28" s="46" t="s">
        <v>201</v>
      </c>
      <c r="B28" s="47" t="s">
        <v>217</v>
      </c>
      <c r="C28" s="19" t="s">
        <v>218</v>
      </c>
      <c r="D28" s="20" t="s">
        <v>219</v>
      </c>
      <c r="E28" s="21" t="s">
        <v>220</v>
      </c>
      <c r="F28" s="22" t="s">
        <v>221</v>
      </c>
      <c r="G28" s="23" t="s">
        <v>222</v>
      </c>
      <c r="H28" s="24" t="str">
        <f aca="false">IF(Inputs!C45=0,"n/a",IFERROR(Inputs!C46/Inputs!C45,""))</f>
        <v>n/a</v>
      </c>
      <c r="I28" s="24" t="str">
        <f aca="false">IF(Inputs!D45=0,"n/a",IFERROR(Inputs!D46/Inputs!D45,""))</f>
        <v>n/a</v>
      </c>
      <c r="J28" s="24" t="str">
        <f aca="false">IF(Inputs!E45=0,"n/a",IFERROR(Inputs!E46/Inputs!E45,""))</f>
        <v>n/a</v>
      </c>
      <c r="K28" s="24" t="str">
        <f aca="false">IF(Inputs!F45=0,"n/a",IFERROR(Inputs!F46/Inputs!F45,""))</f>
        <v>n/a</v>
      </c>
      <c r="L28" s="24" t="n">
        <f aca="false">IF(Inputs!G45=0,"n/a",IFERROR(Inputs!G46/Inputs!G45,""))</f>
        <v>0.8</v>
      </c>
      <c r="M28" s="24" t="str">
        <f aca="false">IF(Inputs!H45=0,"n/a",IFERROR(Inputs!H46/Inputs!H45,""))</f>
        <v>n/a</v>
      </c>
      <c r="N28" s="24" t="str">
        <f aca="false">IF(Inputs!I45=0,"n/a",IFERROR(Inputs!I46/Inputs!I45,""))</f>
        <v>n/a</v>
      </c>
      <c r="O28" s="24" t="str">
        <f aca="false">IF(Inputs!J45=0,"n/a",IFERROR(Inputs!J46/Inputs!J45,""))</f>
        <v>n/a</v>
      </c>
      <c r="P28" s="24" t="str">
        <f aca="false">IF(Inputs!K45=0,"n/a",IFERROR(Inputs!K46/Inputs!K45,""))</f>
        <v>n/a</v>
      </c>
      <c r="Q28" s="24" t="str">
        <f aca="false">IF(Inputs!L45=0,"n/a",IFERROR(Inputs!L46/Inputs!L45,""))</f>
        <v>n/a</v>
      </c>
      <c r="R28" s="24" t="str">
        <f aca="false">IF(Inputs!M45=0,"n/a",IFERROR(Inputs!M46/Inputs!M45,""))</f>
        <v>n/a</v>
      </c>
      <c r="S28" s="24" t="str">
        <f aca="false">IF(Inputs!N45=0,"n/a",IFERROR(Inputs!N46/Inputs!N45,""))</f>
        <v>n/a</v>
      </c>
      <c r="T28" s="13" t="str">
        <f aca="false">IFERROR(LOOKUP(2,1/(H28:S28&lt;&gt;""),H28:S28),"")</f>
        <v>n/a</v>
      </c>
      <c r="U28" s="26" t="str">
        <f aca="false">IFERROR(IF(AND(COUNT(Q28:S28)&gt;0,COUNT(N28:P28)&gt;0),IF(AVERAGE(Q28:S28)&gt;AVERAGE(N28:P28),"▲ up",IF(AVERAGE(Q28:S28)&lt;AVERAGE(N28:P28),"▼ down","◆ flat")),""),"")</f>
        <v/>
      </c>
      <c r="V28" s="26" t="str">
        <f aca="false">IF(T28="","",IF(NOT(ISNUMBER(T28)),"n/a",IF(T28&gt;=0.85,"Green",IF(T28&gt;=0.7,"Amber","Red"))))</f>
        <v>n/a</v>
      </c>
    </row>
    <row r="29" customFormat="false" ht="31.5" hidden="false" customHeight="true" outlineLevel="0" collapsed="false">
      <c r="A29" s="46" t="s">
        <v>201</v>
      </c>
      <c r="B29" s="47" t="s">
        <v>89</v>
      </c>
      <c r="C29" s="19" t="s">
        <v>223</v>
      </c>
      <c r="D29" s="20" t="s">
        <v>127</v>
      </c>
      <c r="E29" s="21" t="s">
        <v>128</v>
      </c>
      <c r="F29" s="22" t="s">
        <v>129</v>
      </c>
      <c r="G29" s="23" t="s">
        <v>224</v>
      </c>
      <c r="H29" s="24" t="str">
        <f aca="false">IFERROR(Inputs!C47/Inputs!C48,"")</f>
        <v/>
      </c>
      <c r="I29" s="24" t="str">
        <f aca="false">IFERROR(Inputs!D47/Inputs!D48,"")</f>
        <v/>
      </c>
      <c r="J29" s="24" t="str">
        <f aca="false">IFERROR(Inputs!E47/Inputs!E48,"")</f>
        <v/>
      </c>
      <c r="K29" s="24" t="str">
        <f aca="false">IFERROR(Inputs!F47/Inputs!F48,"")</f>
        <v/>
      </c>
      <c r="L29" s="24" t="n">
        <f aca="false">IFERROR(Inputs!G47/Inputs!G48,"")</f>
        <v>1</v>
      </c>
      <c r="M29" s="24" t="str">
        <f aca="false">IFERROR(Inputs!H47/Inputs!H48,"")</f>
        <v/>
      </c>
      <c r="N29" s="24" t="str">
        <f aca="false">IFERROR(Inputs!I47/Inputs!I48,"")</f>
        <v/>
      </c>
      <c r="O29" s="24" t="str">
        <f aca="false">IFERROR(Inputs!J47/Inputs!J48,"")</f>
        <v/>
      </c>
      <c r="P29" s="24" t="str">
        <f aca="false">IFERROR(Inputs!K47/Inputs!K48,"")</f>
        <v/>
      </c>
      <c r="Q29" s="24" t="str">
        <f aca="false">IFERROR(Inputs!L47/Inputs!L48,"")</f>
        <v/>
      </c>
      <c r="R29" s="24" t="str">
        <f aca="false">IFERROR(Inputs!M47/Inputs!M48,"")</f>
        <v/>
      </c>
      <c r="S29" s="24" t="str">
        <f aca="false">IFERROR(Inputs!N47/Inputs!N48,"")</f>
        <v/>
      </c>
      <c r="T29" s="13" t="n">
        <f aca="false">IFERROR(LOOKUP(2,1/(H29:S29&lt;&gt;""),H29:S29),"")</f>
        <v>1</v>
      </c>
      <c r="U29" s="26" t="str">
        <f aca="false">IFERROR(IF(AND(COUNT(Q29:S29)&gt;0,COUNT(N29:P29)&gt;0),IF(AVERAGE(Q29:S29)&gt;AVERAGE(N29:P29),"▲ up",IF(AVERAGE(Q29:S29)&lt;AVERAGE(N29:P29),"▼ down","◆ flat")),""),"")</f>
        <v/>
      </c>
      <c r="V29" s="26" t="str">
        <f aca="false">IF(T29="","",IF(NOT(ISNUMBER(T29)),"n/a",IF(T29&gt;=1,"Green",IF(T29&gt;=0.95,"Amber","Red"))))</f>
        <v>Green</v>
      </c>
    </row>
  </sheetData>
  <autoFilter ref="A4:V29"/>
  <mergeCells count="2">
    <mergeCell ref="A1:V1"/>
    <mergeCell ref="A2:V2"/>
  </mergeCells>
  <conditionalFormatting sqref="V5:V29">
    <cfRule type="cellIs" priority="2" operator="equal" aboveAverage="0" equalAverage="0" bottom="0" percent="0" rank="0" text="" dxfId="18">
      <formula>"Green"</formula>
    </cfRule>
    <cfRule type="cellIs" priority="3" operator="equal" aboveAverage="0" equalAverage="0" bottom="0" percent="0" rank="0" text="" dxfId="19">
      <formula>"Amber"</formula>
    </cfRule>
    <cfRule type="cellIs" priority="4" operator="equal" aboveAverage="0" equalAverage="0" bottom="0" percent="0" rank="0" text="" dxfId="20">
      <formula>"Red"</formula>
    </cfRule>
    <cfRule type="cellIs" priority="5" operator="equal" aboveAverage="0" equalAverage="0" bottom="0" percent="0" rank="0" text="" dxfId="21">
      <formula>"Trend"</formula>
    </cfRule>
    <cfRule type="cellIs" priority="6" operator="equal" aboveAverage="0" equalAverage="0" bottom="0" percent="0" rank="0" text="" dxfId="22">
      <formula>"n/a"</formula>
    </cfRule>
  </conditionalFormatting>
  <conditionalFormatting sqref="H5">
    <cfRule type="expression" priority="7" aboveAverage="0" equalAverage="0" bottom="0" percent="0" rank="0" text="" dxfId="23">
      <formula>AND(ISNUMBER(H5),H5&gt;=0.99)</formula>
    </cfRule>
    <cfRule type="expression" priority="8" aboveAverage="0" equalAverage="0" bottom="0" percent="0" rank="0" text="" dxfId="24">
      <formula>AND(ISNUMBER(H5),H5&lt;0.97)</formula>
    </cfRule>
    <cfRule type="expression" priority="9" aboveAverage="0" equalAverage="0" bottom="0" percent="0" rank="0" text="" dxfId="25">
      <formula>AND(ISNUMBER(H5),H5&gt;=0.97,H5&lt;0.99)</formula>
    </cfRule>
  </conditionalFormatting>
  <conditionalFormatting sqref="I5">
    <cfRule type="expression" priority="10" aboveAverage="0" equalAverage="0" bottom="0" percent="0" rank="0" text="" dxfId="23">
      <formula>AND(ISNUMBER(I5),I5&gt;=0.99)</formula>
    </cfRule>
    <cfRule type="expression" priority="11" aboveAverage="0" equalAverage="0" bottom="0" percent="0" rank="0" text="" dxfId="24">
      <formula>AND(ISNUMBER(I5),I5&lt;0.97)</formula>
    </cfRule>
    <cfRule type="expression" priority="12" aboveAverage="0" equalAverage="0" bottom="0" percent="0" rank="0" text="" dxfId="25">
      <formula>AND(ISNUMBER(I5),I5&gt;=0.97,I5&lt;0.99)</formula>
    </cfRule>
  </conditionalFormatting>
  <conditionalFormatting sqref="J5">
    <cfRule type="expression" priority="13" aboveAverage="0" equalAverage="0" bottom="0" percent="0" rank="0" text="" dxfId="23">
      <formula>AND(ISNUMBER(J5),J5&gt;=0.99)</formula>
    </cfRule>
    <cfRule type="expression" priority="14" aboveAverage="0" equalAverage="0" bottom="0" percent="0" rank="0" text="" dxfId="24">
      <formula>AND(ISNUMBER(J5),J5&lt;0.97)</formula>
    </cfRule>
    <cfRule type="expression" priority="15" aboveAverage="0" equalAverage="0" bottom="0" percent="0" rank="0" text="" dxfId="25">
      <formula>AND(ISNUMBER(J5),J5&gt;=0.97,J5&lt;0.99)</formula>
    </cfRule>
  </conditionalFormatting>
  <conditionalFormatting sqref="K5">
    <cfRule type="expression" priority="16" aboveAverage="0" equalAverage="0" bottom="0" percent="0" rank="0" text="" dxfId="23">
      <formula>AND(ISNUMBER(K5),K5&gt;=0.99)</formula>
    </cfRule>
    <cfRule type="expression" priority="17" aboveAverage="0" equalAverage="0" bottom="0" percent="0" rank="0" text="" dxfId="24">
      <formula>AND(ISNUMBER(K5),K5&lt;0.97)</formula>
    </cfRule>
    <cfRule type="expression" priority="18" aboveAverage="0" equalAverage="0" bottom="0" percent="0" rank="0" text="" dxfId="25">
      <formula>AND(ISNUMBER(K5),K5&gt;=0.97,K5&lt;0.99)</formula>
    </cfRule>
  </conditionalFormatting>
  <conditionalFormatting sqref="L5">
    <cfRule type="expression" priority="19" aboveAverage="0" equalAverage="0" bottom="0" percent="0" rank="0" text="" dxfId="23">
      <formula>AND(ISNUMBER(L5),L5&gt;=0.99)</formula>
    </cfRule>
    <cfRule type="expression" priority="20" aboveAverage="0" equalAverage="0" bottom="0" percent="0" rank="0" text="" dxfId="24">
      <formula>AND(ISNUMBER(L5),L5&lt;0.97)</formula>
    </cfRule>
    <cfRule type="expression" priority="21" aboveAverage="0" equalAverage="0" bottom="0" percent="0" rank="0" text="" dxfId="25">
      <formula>AND(ISNUMBER(L5),L5&gt;=0.97,L5&lt;0.99)</formula>
    </cfRule>
  </conditionalFormatting>
  <conditionalFormatting sqref="M5">
    <cfRule type="expression" priority="22" aboveAverage="0" equalAverage="0" bottom="0" percent="0" rank="0" text="" dxfId="23">
      <formula>AND(ISNUMBER(M5),M5&gt;=0.99)</formula>
    </cfRule>
    <cfRule type="expression" priority="23" aboveAverage="0" equalAverage="0" bottom="0" percent="0" rank="0" text="" dxfId="24">
      <formula>AND(ISNUMBER(M5),M5&lt;0.97)</formula>
    </cfRule>
    <cfRule type="expression" priority="24" aboveAverage="0" equalAverage="0" bottom="0" percent="0" rank="0" text="" dxfId="25">
      <formula>AND(ISNUMBER(M5),M5&gt;=0.97,M5&lt;0.99)</formula>
    </cfRule>
  </conditionalFormatting>
  <conditionalFormatting sqref="N5">
    <cfRule type="expression" priority="25" aboveAverage="0" equalAverage="0" bottom="0" percent="0" rank="0" text="" dxfId="23">
      <formula>AND(ISNUMBER(N5),N5&gt;=0.99)</formula>
    </cfRule>
    <cfRule type="expression" priority="26" aboveAverage="0" equalAverage="0" bottom="0" percent="0" rank="0" text="" dxfId="24">
      <formula>AND(ISNUMBER(N5),N5&lt;0.97)</formula>
    </cfRule>
    <cfRule type="expression" priority="27" aboveAverage="0" equalAverage="0" bottom="0" percent="0" rank="0" text="" dxfId="25">
      <formula>AND(ISNUMBER(N5),N5&gt;=0.97,N5&lt;0.99)</formula>
    </cfRule>
  </conditionalFormatting>
  <conditionalFormatting sqref="O5">
    <cfRule type="expression" priority="28" aboveAverage="0" equalAverage="0" bottom="0" percent="0" rank="0" text="" dxfId="23">
      <formula>AND(ISNUMBER(O5),O5&gt;=0.99)</formula>
    </cfRule>
    <cfRule type="expression" priority="29" aboveAverage="0" equalAverage="0" bottom="0" percent="0" rank="0" text="" dxfId="24">
      <formula>AND(ISNUMBER(O5),O5&lt;0.97)</formula>
    </cfRule>
    <cfRule type="expression" priority="30" aboveAverage="0" equalAverage="0" bottom="0" percent="0" rank="0" text="" dxfId="25">
      <formula>AND(ISNUMBER(O5),O5&gt;=0.97,O5&lt;0.99)</formula>
    </cfRule>
  </conditionalFormatting>
  <conditionalFormatting sqref="P5">
    <cfRule type="expression" priority="31" aboveAverage="0" equalAverage="0" bottom="0" percent="0" rank="0" text="" dxfId="23">
      <formula>AND(ISNUMBER(P5),P5&gt;=0.99)</formula>
    </cfRule>
    <cfRule type="expression" priority="32" aboveAverage="0" equalAverage="0" bottom="0" percent="0" rank="0" text="" dxfId="24">
      <formula>AND(ISNUMBER(P5),P5&lt;0.97)</formula>
    </cfRule>
    <cfRule type="expression" priority="33" aboveAverage="0" equalAverage="0" bottom="0" percent="0" rank="0" text="" dxfId="25">
      <formula>AND(ISNUMBER(P5),P5&gt;=0.97,P5&lt;0.99)</formula>
    </cfRule>
  </conditionalFormatting>
  <conditionalFormatting sqref="Q5">
    <cfRule type="expression" priority="34" aboveAverage="0" equalAverage="0" bottom="0" percent="0" rank="0" text="" dxfId="23">
      <formula>AND(ISNUMBER(Q5),Q5&gt;=0.99)</formula>
    </cfRule>
    <cfRule type="expression" priority="35" aboveAverage="0" equalAverage="0" bottom="0" percent="0" rank="0" text="" dxfId="24">
      <formula>AND(ISNUMBER(Q5),Q5&lt;0.97)</formula>
    </cfRule>
    <cfRule type="expression" priority="36" aboveAverage="0" equalAverage="0" bottom="0" percent="0" rank="0" text="" dxfId="25">
      <formula>AND(ISNUMBER(Q5),Q5&gt;=0.97,Q5&lt;0.99)</formula>
    </cfRule>
  </conditionalFormatting>
  <conditionalFormatting sqref="R5">
    <cfRule type="expression" priority="37" aboveAverage="0" equalAverage="0" bottom="0" percent="0" rank="0" text="" dxfId="23">
      <formula>AND(ISNUMBER(R5),R5&gt;=0.99)</formula>
    </cfRule>
    <cfRule type="expression" priority="38" aboveAverage="0" equalAverage="0" bottom="0" percent="0" rank="0" text="" dxfId="24">
      <formula>AND(ISNUMBER(R5),R5&lt;0.97)</formula>
    </cfRule>
    <cfRule type="expression" priority="39" aboveAverage="0" equalAverage="0" bottom="0" percent="0" rank="0" text="" dxfId="25">
      <formula>AND(ISNUMBER(R5),R5&gt;=0.97,R5&lt;0.99)</formula>
    </cfRule>
  </conditionalFormatting>
  <conditionalFormatting sqref="S5">
    <cfRule type="expression" priority="40" aboveAverage="0" equalAverage="0" bottom="0" percent="0" rank="0" text="" dxfId="23">
      <formula>AND(ISNUMBER(S5),S5&gt;=0.99)</formula>
    </cfRule>
    <cfRule type="expression" priority="41" aboveAverage="0" equalAverage="0" bottom="0" percent="0" rank="0" text="" dxfId="24">
      <formula>AND(ISNUMBER(S5),S5&lt;0.97)</formula>
    </cfRule>
    <cfRule type="expression" priority="42" aboveAverage="0" equalAverage="0" bottom="0" percent="0" rank="0" text="" dxfId="25">
      <formula>AND(ISNUMBER(S5),S5&gt;=0.97,S5&lt;0.99)</formula>
    </cfRule>
  </conditionalFormatting>
  <conditionalFormatting sqref="H6">
    <cfRule type="expression" priority="43" aboveAverage="0" equalAverage="0" bottom="0" percent="0" rank="0" text="" dxfId="23">
      <formula>AND(ISNUMBER(H6),H6&lt;=0.005)</formula>
    </cfRule>
    <cfRule type="expression" priority="44" aboveAverage="0" equalAverage="0" bottom="0" percent="0" rank="0" text="" dxfId="24">
      <formula>AND(ISNUMBER(H6),H6&gt;0.01)</formula>
    </cfRule>
    <cfRule type="expression" priority="45" aboveAverage="0" equalAverage="0" bottom="0" percent="0" rank="0" text="" dxfId="25">
      <formula>AND(ISNUMBER(H6),H6&gt;0.005,H6&lt;=0.01)</formula>
    </cfRule>
  </conditionalFormatting>
  <conditionalFormatting sqref="I6">
    <cfRule type="expression" priority="46" aboveAverage="0" equalAverage="0" bottom="0" percent="0" rank="0" text="" dxfId="23">
      <formula>AND(ISNUMBER(I6),I6&lt;=0.005)</formula>
    </cfRule>
    <cfRule type="expression" priority="47" aboveAverage="0" equalAverage="0" bottom="0" percent="0" rank="0" text="" dxfId="24">
      <formula>AND(ISNUMBER(I6),I6&gt;0.01)</formula>
    </cfRule>
    <cfRule type="expression" priority="48" aboveAverage="0" equalAverage="0" bottom="0" percent="0" rank="0" text="" dxfId="25">
      <formula>AND(ISNUMBER(I6),I6&gt;0.005,I6&lt;=0.01)</formula>
    </cfRule>
  </conditionalFormatting>
  <conditionalFormatting sqref="J6">
    <cfRule type="expression" priority="49" aboveAverage="0" equalAverage="0" bottom="0" percent="0" rank="0" text="" dxfId="23">
      <formula>AND(ISNUMBER(J6),J6&lt;=0.005)</formula>
    </cfRule>
    <cfRule type="expression" priority="50" aboveAverage="0" equalAverage="0" bottom="0" percent="0" rank="0" text="" dxfId="24">
      <formula>AND(ISNUMBER(J6),J6&gt;0.01)</formula>
    </cfRule>
    <cfRule type="expression" priority="51" aboveAverage="0" equalAverage="0" bottom="0" percent="0" rank="0" text="" dxfId="25">
      <formula>AND(ISNUMBER(J6),J6&gt;0.005,J6&lt;=0.01)</formula>
    </cfRule>
  </conditionalFormatting>
  <conditionalFormatting sqref="K6">
    <cfRule type="expression" priority="52" aboveAverage="0" equalAverage="0" bottom="0" percent="0" rank="0" text="" dxfId="23">
      <formula>AND(ISNUMBER(K6),K6&lt;=0.005)</formula>
    </cfRule>
    <cfRule type="expression" priority="53" aboveAverage="0" equalAverage="0" bottom="0" percent="0" rank="0" text="" dxfId="24">
      <formula>AND(ISNUMBER(K6),K6&gt;0.01)</formula>
    </cfRule>
    <cfRule type="expression" priority="54" aboveAverage="0" equalAverage="0" bottom="0" percent="0" rank="0" text="" dxfId="25">
      <formula>AND(ISNUMBER(K6),K6&gt;0.005,K6&lt;=0.01)</formula>
    </cfRule>
  </conditionalFormatting>
  <conditionalFormatting sqref="L6">
    <cfRule type="expression" priority="55" aboveAverage="0" equalAverage="0" bottom="0" percent="0" rank="0" text="" dxfId="23">
      <formula>AND(ISNUMBER(L6),L6&lt;=0.005)</formula>
    </cfRule>
    <cfRule type="expression" priority="56" aboveAverage="0" equalAverage="0" bottom="0" percent="0" rank="0" text="" dxfId="24">
      <formula>AND(ISNUMBER(L6),L6&gt;0.01)</formula>
    </cfRule>
    <cfRule type="expression" priority="57" aboveAverage="0" equalAverage="0" bottom="0" percent="0" rank="0" text="" dxfId="25">
      <formula>AND(ISNUMBER(L6),L6&gt;0.005,L6&lt;=0.01)</formula>
    </cfRule>
  </conditionalFormatting>
  <conditionalFormatting sqref="M6">
    <cfRule type="expression" priority="58" aboveAverage="0" equalAverage="0" bottom="0" percent="0" rank="0" text="" dxfId="23">
      <formula>AND(ISNUMBER(M6),M6&lt;=0.005)</formula>
    </cfRule>
    <cfRule type="expression" priority="59" aboveAverage="0" equalAverage="0" bottom="0" percent="0" rank="0" text="" dxfId="24">
      <formula>AND(ISNUMBER(M6),M6&gt;0.01)</formula>
    </cfRule>
    <cfRule type="expression" priority="60" aboveAverage="0" equalAverage="0" bottom="0" percent="0" rank="0" text="" dxfId="25">
      <formula>AND(ISNUMBER(M6),M6&gt;0.005,M6&lt;=0.01)</formula>
    </cfRule>
  </conditionalFormatting>
  <conditionalFormatting sqref="N6">
    <cfRule type="expression" priority="61" aboveAverage="0" equalAverage="0" bottom="0" percent="0" rank="0" text="" dxfId="23">
      <formula>AND(ISNUMBER(N6),N6&lt;=0.005)</formula>
    </cfRule>
    <cfRule type="expression" priority="62" aboveAverage="0" equalAverage="0" bottom="0" percent="0" rank="0" text="" dxfId="24">
      <formula>AND(ISNUMBER(N6),N6&gt;0.01)</formula>
    </cfRule>
    <cfRule type="expression" priority="63" aboveAverage="0" equalAverage="0" bottom="0" percent="0" rank="0" text="" dxfId="25">
      <formula>AND(ISNUMBER(N6),N6&gt;0.005,N6&lt;=0.01)</formula>
    </cfRule>
  </conditionalFormatting>
  <conditionalFormatting sqref="O6">
    <cfRule type="expression" priority="64" aboveAverage="0" equalAverage="0" bottom="0" percent="0" rank="0" text="" dxfId="23">
      <formula>AND(ISNUMBER(O6),O6&lt;=0.005)</formula>
    </cfRule>
    <cfRule type="expression" priority="65" aboveAverage="0" equalAverage="0" bottom="0" percent="0" rank="0" text="" dxfId="24">
      <formula>AND(ISNUMBER(O6),O6&gt;0.01)</formula>
    </cfRule>
    <cfRule type="expression" priority="66" aboveAverage="0" equalAverage="0" bottom="0" percent="0" rank="0" text="" dxfId="25">
      <formula>AND(ISNUMBER(O6),O6&gt;0.005,O6&lt;=0.01)</formula>
    </cfRule>
  </conditionalFormatting>
  <conditionalFormatting sqref="P6">
    <cfRule type="expression" priority="67" aboveAverage="0" equalAverage="0" bottom="0" percent="0" rank="0" text="" dxfId="23">
      <formula>AND(ISNUMBER(P6),P6&lt;=0.005)</formula>
    </cfRule>
    <cfRule type="expression" priority="68" aboveAverage="0" equalAverage="0" bottom="0" percent="0" rank="0" text="" dxfId="24">
      <formula>AND(ISNUMBER(P6),P6&gt;0.01)</formula>
    </cfRule>
    <cfRule type="expression" priority="69" aboveAverage="0" equalAverage="0" bottom="0" percent="0" rank="0" text="" dxfId="25">
      <formula>AND(ISNUMBER(P6),P6&gt;0.005,P6&lt;=0.01)</formula>
    </cfRule>
  </conditionalFormatting>
  <conditionalFormatting sqref="Q6">
    <cfRule type="expression" priority="70" aboveAverage="0" equalAverage="0" bottom="0" percent="0" rank="0" text="" dxfId="23">
      <formula>AND(ISNUMBER(Q6),Q6&lt;=0.005)</formula>
    </cfRule>
    <cfRule type="expression" priority="71" aboveAverage="0" equalAverage="0" bottom="0" percent="0" rank="0" text="" dxfId="24">
      <formula>AND(ISNUMBER(Q6),Q6&gt;0.01)</formula>
    </cfRule>
    <cfRule type="expression" priority="72" aboveAverage="0" equalAverage="0" bottom="0" percent="0" rank="0" text="" dxfId="25">
      <formula>AND(ISNUMBER(Q6),Q6&gt;0.005,Q6&lt;=0.01)</formula>
    </cfRule>
  </conditionalFormatting>
  <conditionalFormatting sqref="R6">
    <cfRule type="expression" priority="73" aboveAverage="0" equalAverage="0" bottom="0" percent="0" rank="0" text="" dxfId="23">
      <formula>AND(ISNUMBER(R6),R6&lt;=0.005)</formula>
    </cfRule>
    <cfRule type="expression" priority="74" aboveAverage="0" equalAverage="0" bottom="0" percent="0" rank="0" text="" dxfId="24">
      <formula>AND(ISNUMBER(R6),R6&gt;0.01)</formula>
    </cfRule>
    <cfRule type="expression" priority="75" aboveAverage="0" equalAverage="0" bottom="0" percent="0" rank="0" text="" dxfId="25">
      <formula>AND(ISNUMBER(R6),R6&gt;0.005,R6&lt;=0.01)</formula>
    </cfRule>
  </conditionalFormatting>
  <conditionalFormatting sqref="S6">
    <cfRule type="expression" priority="76" aboveAverage="0" equalAverage="0" bottom="0" percent="0" rank="0" text="" dxfId="23">
      <formula>AND(ISNUMBER(S6),S6&lt;=0.005)</formula>
    </cfRule>
    <cfRule type="expression" priority="77" aboveAverage="0" equalAverage="0" bottom="0" percent="0" rank="0" text="" dxfId="24">
      <formula>AND(ISNUMBER(S6),S6&gt;0.01)</formula>
    </cfRule>
    <cfRule type="expression" priority="78" aboveAverage="0" equalAverage="0" bottom="0" percent="0" rank="0" text="" dxfId="25">
      <formula>AND(ISNUMBER(S6),S6&gt;0.005,S6&lt;=0.01)</formula>
    </cfRule>
  </conditionalFormatting>
  <conditionalFormatting sqref="H7">
    <cfRule type="expression" priority="79" aboveAverage="0" equalAverage="0" bottom="0" percent="0" rank="0" text="" dxfId="23">
      <formula>AND(ISNUMBER(H7),H7&lt;=0.03)</formula>
    </cfRule>
    <cfRule type="expression" priority="80" aboveAverage="0" equalAverage="0" bottom="0" percent="0" rank="0" text="" dxfId="24">
      <formula>AND(ISNUMBER(H7),H7&gt;0.05)</formula>
    </cfRule>
    <cfRule type="expression" priority="81" aboveAverage="0" equalAverage="0" bottom="0" percent="0" rank="0" text="" dxfId="25">
      <formula>AND(ISNUMBER(H7),H7&gt;0.03,H7&lt;=0.05)</formula>
    </cfRule>
  </conditionalFormatting>
  <conditionalFormatting sqref="I7">
    <cfRule type="expression" priority="82" aboveAverage="0" equalAverage="0" bottom="0" percent="0" rank="0" text="" dxfId="23">
      <formula>AND(ISNUMBER(I7),I7&lt;=0.03)</formula>
    </cfRule>
    <cfRule type="expression" priority="83" aboveAverage="0" equalAverage="0" bottom="0" percent="0" rank="0" text="" dxfId="24">
      <formula>AND(ISNUMBER(I7),I7&gt;0.05)</formula>
    </cfRule>
    <cfRule type="expression" priority="84" aboveAverage="0" equalAverage="0" bottom="0" percent="0" rank="0" text="" dxfId="25">
      <formula>AND(ISNUMBER(I7),I7&gt;0.03,I7&lt;=0.05)</formula>
    </cfRule>
  </conditionalFormatting>
  <conditionalFormatting sqref="J7">
    <cfRule type="expression" priority="85" aboveAverage="0" equalAverage="0" bottom="0" percent="0" rank="0" text="" dxfId="23">
      <formula>AND(ISNUMBER(J7),J7&lt;=0.03)</formula>
    </cfRule>
    <cfRule type="expression" priority="86" aboveAverage="0" equalAverage="0" bottom="0" percent="0" rank="0" text="" dxfId="24">
      <formula>AND(ISNUMBER(J7),J7&gt;0.05)</formula>
    </cfRule>
    <cfRule type="expression" priority="87" aboveAverage="0" equalAverage="0" bottom="0" percent="0" rank="0" text="" dxfId="25">
      <formula>AND(ISNUMBER(J7),J7&gt;0.03,J7&lt;=0.05)</formula>
    </cfRule>
  </conditionalFormatting>
  <conditionalFormatting sqref="K7">
    <cfRule type="expression" priority="88" aboveAverage="0" equalAverage="0" bottom="0" percent="0" rank="0" text="" dxfId="23">
      <formula>AND(ISNUMBER(K7),K7&lt;=0.03)</formula>
    </cfRule>
    <cfRule type="expression" priority="89" aboveAverage="0" equalAverage="0" bottom="0" percent="0" rank="0" text="" dxfId="24">
      <formula>AND(ISNUMBER(K7),K7&gt;0.05)</formula>
    </cfRule>
    <cfRule type="expression" priority="90" aboveAverage="0" equalAverage="0" bottom="0" percent="0" rank="0" text="" dxfId="25">
      <formula>AND(ISNUMBER(K7),K7&gt;0.03,K7&lt;=0.05)</formula>
    </cfRule>
  </conditionalFormatting>
  <conditionalFormatting sqref="L7">
    <cfRule type="expression" priority="91" aboveAverage="0" equalAverage="0" bottom="0" percent="0" rank="0" text="" dxfId="23">
      <formula>AND(ISNUMBER(L7),L7&lt;=0.03)</formula>
    </cfRule>
    <cfRule type="expression" priority="92" aboveAverage="0" equalAverage="0" bottom="0" percent="0" rank="0" text="" dxfId="24">
      <formula>AND(ISNUMBER(L7),L7&gt;0.05)</formula>
    </cfRule>
    <cfRule type="expression" priority="93" aboveAverage="0" equalAverage="0" bottom="0" percent="0" rank="0" text="" dxfId="25">
      <formula>AND(ISNUMBER(L7),L7&gt;0.03,L7&lt;=0.05)</formula>
    </cfRule>
  </conditionalFormatting>
  <conditionalFormatting sqref="M7">
    <cfRule type="expression" priority="94" aboveAverage="0" equalAverage="0" bottom="0" percent="0" rank="0" text="" dxfId="23">
      <formula>AND(ISNUMBER(M7),M7&lt;=0.03)</formula>
    </cfRule>
    <cfRule type="expression" priority="95" aboveAverage="0" equalAverage="0" bottom="0" percent="0" rank="0" text="" dxfId="24">
      <formula>AND(ISNUMBER(M7),M7&gt;0.05)</formula>
    </cfRule>
    <cfRule type="expression" priority="96" aboveAverage="0" equalAverage="0" bottom="0" percent="0" rank="0" text="" dxfId="25">
      <formula>AND(ISNUMBER(M7),M7&gt;0.03,M7&lt;=0.05)</formula>
    </cfRule>
  </conditionalFormatting>
  <conditionalFormatting sqref="N7">
    <cfRule type="expression" priority="97" aboveAverage="0" equalAverage="0" bottom="0" percent="0" rank="0" text="" dxfId="23">
      <formula>AND(ISNUMBER(N7),N7&lt;=0.03)</formula>
    </cfRule>
    <cfRule type="expression" priority="98" aboveAverage="0" equalAverage="0" bottom="0" percent="0" rank="0" text="" dxfId="24">
      <formula>AND(ISNUMBER(N7),N7&gt;0.05)</formula>
    </cfRule>
    <cfRule type="expression" priority="99" aboveAverage="0" equalAverage="0" bottom="0" percent="0" rank="0" text="" dxfId="25">
      <formula>AND(ISNUMBER(N7),N7&gt;0.03,N7&lt;=0.05)</formula>
    </cfRule>
  </conditionalFormatting>
  <conditionalFormatting sqref="O7">
    <cfRule type="expression" priority="100" aboveAverage="0" equalAverage="0" bottom="0" percent="0" rank="0" text="" dxfId="23">
      <formula>AND(ISNUMBER(O7),O7&lt;=0.03)</formula>
    </cfRule>
    <cfRule type="expression" priority="101" aboveAverage="0" equalAverage="0" bottom="0" percent="0" rank="0" text="" dxfId="24">
      <formula>AND(ISNUMBER(O7),O7&gt;0.05)</formula>
    </cfRule>
    <cfRule type="expression" priority="102" aboveAverage="0" equalAverage="0" bottom="0" percent="0" rank="0" text="" dxfId="25">
      <formula>AND(ISNUMBER(O7),O7&gt;0.03,O7&lt;=0.05)</formula>
    </cfRule>
  </conditionalFormatting>
  <conditionalFormatting sqref="P7">
    <cfRule type="expression" priority="103" aboveAverage="0" equalAverage="0" bottom="0" percent="0" rank="0" text="" dxfId="23">
      <formula>AND(ISNUMBER(P7),P7&lt;=0.03)</formula>
    </cfRule>
    <cfRule type="expression" priority="104" aboveAverage="0" equalAverage="0" bottom="0" percent="0" rank="0" text="" dxfId="24">
      <formula>AND(ISNUMBER(P7),P7&gt;0.05)</formula>
    </cfRule>
    <cfRule type="expression" priority="105" aboveAverage="0" equalAverage="0" bottom="0" percent="0" rank="0" text="" dxfId="25">
      <formula>AND(ISNUMBER(P7),P7&gt;0.03,P7&lt;=0.05)</formula>
    </cfRule>
  </conditionalFormatting>
  <conditionalFormatting sqref="Q7">
    <cfRule type="expression" priority="106" aboveAverage="0" equalAverage="0" bottom="0" percent="0" rank="0" text="" dxfId="23">
      <formula>AND(ISNUMBER(Q7),Q7&lt;=0.03)</formula>
    </cfRule>
    <cfRule type="expression" priority="107" aboveAverage="0" equalAverage="0" bottom="0" percent="0" rank="0" text="" dxfId="24">
      <formula>AND(ISNUMBER(Q7),Q7&gt;0.05)</formula>
    </cfRule>
    <cfRule type="expression" priority="108" aboveAverage="0" equalAverage="0" bottom="0" percent="0" rank="0" text="" dxfId="25">
      <formula>AND(ISNUMBER(Q7),Q7&gt;0.03,Q7&lt;=0.05)</formula>
    </cfRule>
  </conditionalFormatting>
  <conditionalFormatting sqref="R7">
    <cfRule type="expression" priority="109" aboveAverage="0" equalAverage="0" bottom="0" percent="0" rank="0" text="" dxfId="23">
      <formula>AND(ISNUMBER(R7),R7&lt;=0.03)</formula>
    </cfRule>
    <cfRule type="expression" priority="110" aboveAverage="0" equalAverage="0" bottom="0" percent="0" rank="0" text="" dxfId="24">
      <formula>AND(ISNUMBER(R7),R7&gt;0.05)</formula>
    </cfRule>
    <cfRule type="expression" priority="111" aboveAverage="0" equalAverage="0" bottom="0" percent="0" rank="0" text="" dxfId="25">
      <formula>AND(ISNUMBER(R7),R7&gt;0.03,R7&lt;=0.05)</formula>
    </cfRule>
  </conditionalFormatting>
  <conditionalFormatting sqref="S7">
    <cfRule type="expression" priority="112" aboveAverage="0" equalAverage="0" bottom="0" percent="0" rank="0" text="" dxfId="23">
      <formula>AND(ISNUMBER(S7),S7&lt;=0.03)</formula>
    </cfRule>
    <cfRule type="expression" priority="113" aboveAverage="0" equalAverage="0" bottom="0" percent="0" rank="0" text="" dxfId="24">
      <formula>AND(ISNUMBER(S7),S7&gt;0.05)</formula>
    </cfRule>
    <cfRule type="expression" priority="114" aboveAverage="0" equalAverage="0" bottom="0" percent="0" rank="0" text="" dxfId="25">
      <formula>AND(ISNUMBER(S7),S7&gt;0.03,S7&lt;=0.05)</formula>
    </cfRule>
  </conditionalFormatting>
  <conditionalFormatting sqref="H8">
    <cfRule type="expression" priority="115" aboveAverage="0" equalAverage="0" bottom="0" percent="0" rank="0" text="" dxfId="23">
      <formula>AND(ISNUMBER(H8),H8&gt;=1)</formula>
    </cfRule>
    <cfRule type="expression" priority="116" aboveAverage="0" equalAverage="0" bottom="0" percent="0" rank="0" text="" dxfId="24">
      <formula>AND(ISNUMBER(H8),H8&lt;0.95)</formula>
    </cfRule>
    <cfRule type="expression" priority="117" aboveAverage="0" equalAverage="0" bottom="0" percent="0" rank="0" text="" dxfId="25">
      <formula>AND(ISNUMBER(H8),H8&gt;=0.95,H8&lt;1)</formula>
    </cfRule>
  </conditionalFormatting>
  <conditionalFormatting sqref="I8">
    <cfRule type="expression" priority="118" aboveAverage="0" equalAverage="0" bottom="0" percent="0" rank="0" text="" dxfId="23">
      <formula>AND(ISNUMBER(I8),I8&gt;=1)</formula>
    </cfRule>
    <cfRule type="expression" priority="119" aboveAverage="0" equalAverage="0" bottom="0" percent="0" rank="0" text="" dxfId="24">
      <formula>AND(ISNUMBER(I8),I8&lt;0.95)</formula>
    </cfRule>
    <cfRule type="expression" priority="120" aboveAverage="0" equalAverage="0" bottom="0" percent="0" rank="0" text="" dxfId="25">
      <formula>AND(ISNUMBER(I8),I8&gt;=0.95,I8&lt;1)</formula>
    </cfRule>
  </conditionalFormatting>
  <conditionalFormatting sqref="J8">
    <cfRule type="expression" priority="121" aboveAverage="0" equalAverage="0" bottom="0" percent="0" rank="0" text="" dxfId="23">
      <formula>AND(ISNUMBER(J8),J8&gt;=1)</formula>
    </cfRule>
    <cfRule type="expression" priority="122" aboveAverage="0" equalAverage="0" bottom="0" percent="0" rank="0" text="" dxfId="24">
      <formula>AND(ISNUMBER(J8),J8&lt;0.95)</formula>
    </cfRule>
    <cfRule type="expression" priority="123" aboveAverage="0" equalAverage="0" bottom="0" percent="0" rank="0" text="" dxfId="25">
      <formula>AND(ISNUMBER(J8),J8&gt;=0.95,J8&lt;1)</formula>
    </cfRule>
  </conditionalFormatting>
  <conditionalFormatting sqref="K8">
    <cfRule type="expression" priority="124" aboveAverage="0" equalAverage="0" bottom="0" percent="0" rank="0" text="" dxfId="23">
      <formula>AND(ISNUMBER(K8),K8&gt;=1)</formula>
    </cfRule>
    <cfRule type="expression" priority="125" aboveAverage="0" equalAverage="0" bottom="0" percent="0" rank="0" text="" dxfId="24">
      <formula>AND(ISNUMBER(K8),K8&lt;0.95)</formula>
    </cfRule>
    <cfRule type="expression" priority="126" aboveAverage="0" equalAverage="0" bottom="0" percent="0" rank="0" text="" dxfId="25">
      <formula>AND(ISNUMBER(K8),K8&gt;=0.95,K8&lt;1)</formula>
    </cfRule>
  </conditionalFormatting>
  <conditionalFormatting sqref="L8">
    <cfRule type="expression" priority="127" aboveAverage="0" equalAverage="0" bottom="0" percent="0" rank="0" text="" dxfId="23">
      <formula>AND(ISNUMBER(L8),L8&gt;=1)</formula>
    </cfRule>
    <cfRule type="expression" priority="128" aboveAverage="0" equalAverage="0" bottom="0" percent="0" rank="0" text="" dxfId="24">
      <formula>AND(ISNUMBER(L8),L8&lt;0.95)</formula>
    </cfRule>
    <cfRule type="expression" priority="129" aboveAverage="0" equalAverage="0" bottom="0" percent="0" rank="0" text="" dxfId="25">
      <formula>AND(ISNUMBER(L8),L8&gt;=0.95,L8&lt;1)</formula>
    </cfRule>
  </conditionalFormatting>
  <conditionalFormatting sqref="M8">
    <cfRule type="expression" priority="130" aboveAverage="0" equalAverage="0" bottom="0" percent="0" rank="0" text="" dxfId="23">
      <formula>AND(ISNUMBER(M8),M8&gt;=1)</formula>
    </cfRule>
    <cfRule type="expression" priority="131" aboveAverage="0" equalAverage="0" bottom="0" percent="0" rank="0" text="" dxfId="24">
      <formula>AND(ISNUMBER(M8),M8&lt;0.95)</formula>
    </cfRule>
    <cfRule type="expression" priority="132" aboveAverage="0" equalAverage="0" bottom="0" percent="0" rank="0" text="" dxfId="25">
      <formula>AND(ISNUMBER(M8),M8&gt;=0.95,M8&lt;1)</formula>
    </cfRule>
  </conditionalFormatting>
  <conditionalFormatting sqref="N8">
    <cfRule type="expression" priority="133" aboveAverage="0" equalAverage="0" bottom="0" percent="0" rank="0" text="" dxfId="23">
      <formula>AND(ISNUMBER(N8),N8&gt;=1)</formula>
    </cfRule>
    <cfRule type="expression" priority="134" aboveAverage="0" equalAverage="0" bottom="0" percent="0" rank="0" text="" dxfId="24">
      <formula>AND(ISNUMBER(N8),N8&lt;0.95)</formula>
    </cfRule>
    <cfRule type="expression" priority="135" aboveAverage="0" equalAverage="0" bottom="0" percent="0" rank="0" text="" dxfId="25">
      <formula>AND(ISNUMBER(N8),N8&gt;=0.95,N8&lt;1)</formula>
    </cfRule>
  </conditionalFormatting>
  <conditionalFormatting sqref="O8">
    <cfRule type="expression" priority="136" aboveAverage="0" equalAverage="0" bottom="0" percent="0" rank="0" text="" dxfId="23">
      <formula>AND(ISNUMBER(O8),O8&gt;=1)</formula>
    </cfRule>
    <cfRule type="expression" priority="137" aboveAverage="0" equalAverage="0" bottom="0" percent="0" rank="0" text="" dxfId="24">
      <formula>AND(ISNUMBER(O8),O8&lt;0.95)</formula>
    </cfRule>
    <cfRule type="expression" priority="138" aboveAverage="0" equalAverage="0" bottom="0" percent="0" rank="0" text="" dxfId="25">
      <formula>AND(ISNUMBER(O8),O8&gt;=0.95,O8&lt;1)</formula>
    </cfRule>
  </conditionalFormatting>
  <conditionalFormatting sqref="P8">
    <cfRule type="expression" priority="139" aboveAverage="0" equalAverage="0" bottom="0" percent="0" rank="0" text="" dxfId="23">
      <formula>AND(ISNUMBER(P8),P8&gt;=1)</formula>
    </cfRule>
    <cfRule type="expression" priority="140" aboveAverage="0" equalAverage="0" bottom="0" percent="0" rank="0" text="" dxfId="24">
      <formula>AND(ISNUMBER(P8),P8&lt;0.95)</formula>
    </cfRule>
    <cfRule type="expression" priority="141" aboveAverage="0" equalAverage="0" bottom="0" percent="0" rank="0" text="" dxfId="25">
      <formula>AND(ISNUMBER(P8),P8&gt;=0.95,P8&lt;1)</formula>
    </cfRule>
  </conditionalFormatting>
  <conditionalFormatting sqref="Q8">
    <cfRule type="expression" priority="142" aboveAverage="0" equalAverage="0" bottom="0" percent="0" rank="0" text="" dxfId="23">
      <formula>AND(ISNUMBER(Q8),Q8&gt;=1)</formula>
    </cfRule>
    <cfRule type="expression" priority="143" aboveAverage="0" equalAverage="0" bottom="0" percent="0" rank="0" text="" dxfId="24">
      <formula>AND(ISNUMBER(Q8),Q8&lt;0.95)</formula>
    </cfRule>
    <cfRule type="expression" priority="144" aboveAverage="0" equalAverage="0" bottom="0" percent="0" rank="0" text="" dxfId="25">
      <formula>AND(ISNUMBER(Q8),Q8&gt;=0.95,Q8&lt;1)</formula>
    </cfRule>
  </conditionalFormatting>
  <conditionalFormatting sqref="R8">
    <cfRule type="expression" priority="145" aboveAverage="0" equalAverage="0" bottom="0" percent="0" rank="0" text="" dxfId="23">
      <formula>AND(ISNUMBER(R8),R8&gt;=1)</formula>
    </cfRule>
    <cfRule type="expression" priority="146" aboveAverage="0" equalAverage="0" bottom="0" percent="0" rank="0" text="" dxfId="24">
      <formula>AND(ISNUMBER(R8),R8&lt;0.95)</formula>
    </cfRule>
    <cfRule type="expression" priority="147" aboveAverage="0" equalAverage="0" bottom="0" percent="0" rank="0" text="" dxfId="25">
      <formula>AND(ISNUMBER(R8),R8&gt;=0.95,R8&lt;1)</formula>
    </cfRule>
  </conditionalFormatting>
  <conditionalFormatting sqref="S8">
    <cfRule type="expression" priority="148" aboveAverage="0" equalAverage="0" bottom="0" percent="0" rank="0" text="" dxfId="23">
      <formula>AND(ISNUMBER(S8),S8&gt;=1)</formula>
    </cfRule>
    <cfRule type="expression" priority="149" aboveAverage="0" equalAverage="0" bottom="0" percent="0" rank="0" text="" dxfId="24">
      <formula>AND(ISNUMBER(S8),S8&lt;0.95)</formula>
    </cfRule>
    <cfRule type="expression" priority="150" aboveAverage="0" equalAverage="0" bottom="0" percent="0" rank="0" text="" dxfId="25">
      <formula>AND(ISNUMBER(S8),S8&gt;=0.95,S8&lt;1)</formula>
    </cfRule>
  </conditionalFormatting>
  <conditionalFormatting sqref="H9">
    <cfRule type="expression" priority="151" aboveAverage="0" equalAverage="0" bottom="0" percent="0" rank="0" text="" dxfId="23">
      <formula>AND(ISNUMBER(H9),H9&lt;=0.5)</formula>
    </cfRule>
    <cfRule type="expression" priority="152" aboveAverage="0" equalAverage="0" bottom="0" percent="0" rank="0" text="" dxfId="24">
      <formula>AND(ISNUMBER(H9),H9&gt;1)</formula>
    </cfRule>
    <cfRule type="expression" priority="153" aboveAverage="0" equalAverage="0" bottom="0" percent="0" rank="0" text="" dxfId="25">
      <formula>AND(ISNUMBER(H9),H9&gt;0.5,H9&lt;=1)</formula>
    </cfRule>
  </conditionalFormatting>
  <conditionalFormatting sqref="I9">
    <cfRule type="expression" priority="154" aboveAverage="0" equalAverage="0" bottom="0" percent="0" rank="0" text="" dxfId="23">
      <formula>AND(ISNUMBER(I9),I9&lt;=0.5)</formula>
    </cfRule>
    <cfRule type="expression" priority="155" aboveAverage="0" equalAverage="0" bottom="0" percent="0" rank="0" text="" dxfId="24">
      <formula>AND(ISNUMBER(I9),I9&gt;1)</formula>
    </cfRule>
    <cfRule type="expression" priority="156" aboveAverage="0" equalAverage="0" bottom="0" percent="0" rank="0" text="" dxfId="25">
      <formula>AND(ISNUMBER(I9),I9&gt;0.5,I9&lt;=1)</formula>
    </cfRule>
  </conditionalFormatting>
  <conditionalFormatting sqref="J9">
    <cfRule type="expression" priority="157" aboveAverage="0" equalAverage="0" bottom="0" percent="0" rank="0" text="" dxfId="23">
      <formula>AND(ISNUMBER(J9),J9&lt;=0.5)</formula>
    </cfRule>
    <cfRule type="expression" priority="158" aboveAverage="0" equalAverage="0" bottom="0" percent="0" rank="0" text="" dxfId="24">
      <formula>AND(ISNUMBER(J9),J9&gt;1)</formula>
    </cfRule>
    <cfRule type="expression" priority="159" aboveAverage="0" equalAverage="0" bottom="0" percent="0" rank="0" text="" dxfId="25">
      <formula>AND(ISNUMBER(J9),J9&gt;0.5,J9&lt;=1)</formula>
    </cfRule>
  </conditionalFormatting>
  <conditionalFormatting sqref="K9">
    <cfRule type="expression" priority="160" aboveAverage="0" equalAverage="0" bottom="0" percent="0" rank="0" text="" dxfId="23">
      <formula>AND(ISNUMBER(K9),K9&lt;=0.5)</formula>
    </cfRule>
    <cfRule type="expression" priority="161" aboveAverage="0" equalAverage="0" bottom="0" percent="0" rank="0" text="" dxfId="24">
      <formula>AND(ISNUMBER(K9),K9&gt;1)</formula>
    </cfRule>
    <cfRule type="expression" priority="162" aboveAverage="0" equalAverage="0" bottom="0" percent="0" rank="0" text="" dxfId="25">
      <formula>AND(ISNUMBER(K9),K9&gt;0.5,K9&lt;=1)</formula>
    </cfRule>
  </conditionalFormatting>
  <conditionalFormatting sqref="L9">
    <cfRule type="expression" priority="163" aboveAverage="0" equalAverage="0" bottom="0" percent="0" rank="0" text="" dxfId="23">
      <formula>AND(ISNUMBER(L9),L9&lt;=0.5)</formula>
    </cfRule>
    <cfRule type="expression" priority="164" aboveAverage="0" equalAverage="0" bottom="0" percent="0" rank="0" text="" dxfId="24">
      <formula>AND(ISNUMBER(L9),L9&gt;1)</formula>
    </cfRule>
    <cfRule type="expression" priority="165" aboveAverage="0" equalAverage="0" bottom="0" percent="0" rank="0" text="" dxfId="25">
      <formula>AND(ISNUMBER(L9),L9&gt;0.5,L9&lt;=1)</formula>
    </cfRule>
  </conditionalFormatting>
  <conditionalFormatting sqref="M9">
    <cfRule type="expression" priority="166" aboveAverage="0" equalAverage="0" bottom="0" percent="0" rank="0" text="" dxfId="23">
      <formula>AND(ISNUMBER(M9),M9&lt;=0.5)</formula>
    </cfRule>
    <cfRule type="expression" priority="167" aboveAverage="0" equalAverage="0" bottom="0" percent="0" rank="0" text="" dxfId="24">
      <formula>AND(ISNUMBER(M9),M9&gt;1)</formula>
    </cfRule>
    <cfRule type="expression" priority="168" aboveAverage="0" equalAverage="0" bottom="0" percent="0" rank="0" text="" dxfId="25">
      <formula>AND(ISNUMBER(M9),M9&gt;0.5,M9&lt;=1)</formula>
    </cfRule>
  </conditionalFormatting>
  <conditionalFormatting sqref="N9">
    <cfRule type="expression" priority="169" aboveAverage="0" equalAverage="0" bottom="0" percent="0" rank="0" text="" dxfId="23">
      <formula>AND(ISNUMBER(N9),N9&lt;=0.5)</formula>
    </cfRule>
    <cfRule type="expression" priority="170" aboveAverage="0" equalAverage="0" bottom="0" percent="0" rank="0" text="" dxfId="24">
      <formula>AND(ISNUMBER(N9),N9&gt;1)</formula>
    </cfRule>
    <cfRule type="expression" priority="171" aboveAverage="0" equalAverage="0" bottom="0" percent="0" rank="0" text="" dxfId="25">
      <formula>AND(ISNUMBER(N9),N9&gt;0.5,N9&lt;=1)</formula>
    </cfRule>
  </conditionalFormatting>
  <conditionalFormatting sqref="O9">
    <cfRule type="expression" priority="172" aboveAverage="0" equalAverage="0" bottom="0" percent="0" rank="0" text="" dxfId="23">
      <formula>AND(ISNUMBER(O9),O9&lt;=0.5)</formula>
    </cfRule>
    <cfRule type="expression" priority="173" aboveAverage="0" equalAverage="0" bottom="0" percent="0" rank="0" text="" dxfId="24">
      <formula>AND(ISNUMBER(O9),O9&gt;1)</formula>
    </cfRule>
    <cfRule type="expression" priority="174" aboveAverage="0" equalAverage="0" bottom="0" percent="0" rank="0" text="" dxfId="25">
      <formula>AND(ISNUMBER(O9),O9&gt;0.5,O9&lt;=1)</formula>
    </cfRule>
  </conditionalFormatting>
  <conditionalFormatting sqref="P9">
    <cfRule type="expression" priority="175" aboveAverage="0" equalAverage="0" bottom="0" percent="0" rank="0" text="" dxfId="23">
      <formula>AND(ISNUMBER(P9),P9&lt;=0.5)</formula>
    </cfRule>
    <cfRule type="expression" priority="176" aboveAverage="0" equalAverage="0" bottom="0" percent="0" rank="0" text="" dxfId="24">
      <formula>AND(ISNUMBER(P9),P9&gt;1)</formula>
    </cfRule>
    <cfRule type="expression" priority="177" aboveAverage="0" equalAverage="0" bottom="0" percent="0" rank="0" text="" dxfId="25">
      <formula>AND(ISNUMBER(P9),P9&gt;0.5,P9&lt;=1)</formula>
    </cfRule>
  </conditionalFormatting>
  <conditionalFormatting sqref="Q9">
    <cfRule type="expression" priority="178" aboveAverage="0" equalAverage="0" bottom="0" percent="0" rank="0" text="" dxfId="23">
      <formula>AND(ISNUMBER(Q9),Q9&lt;=0.5)</formula>
    </cfRule>
    <cfRule type="expression" priority="179" aboveAverage="0" equalAverage="0" bottom="0" percent="0" rank="0" text="" dxfId="24">
      <formula>AND(ISNUMBER(Q9),Q9&gt;1)</formula>
    </cfRule>
    <cfRule type="expression" priority="180" aboveAverage="0" equalAverage="0" bottom="0" percent="0" rank="0" text="" dxfId="25">
      <formula>AND(ISNUMBER(Q9),Q9&gt;0.5,Q9&lt;=1)</formula>
    </cfRule>
  </conditionalFormatting>
  <conditionalFormatting sqref="R9">
    <cfRule type="expression" priority="181" aboveAverage="0" equalAverage="0" bottom="0" percent="0" rank="0" text="" dxfId="23">
      <formula>AND(ISNUMBER(R9),R9&lt;=0.5)</formula>
    </cfRule>
    <cfRule type="expression" priority="182" aboveAverage="0" equalAverage="0" bottom="0" percent="0" rank="0" text="" dxfId="24">
      <formula>AND(ISNUMBER(R9),R9&gt;1)</formula>
    </cfRule>
    <cfRule type="expression" priority="183" aboveAverage="0" equalAverage="0" bottom="0" percent="0" rank="0" text="" dxfId="25">
      <formula>AND(ISNUMBER(R9),R9&gt;0.5,R9&lt;=1)</formula>
    </cfRule>
  </conditionalFormatting>
  <conditionalFormatting sqref="S9">
    <cfRule type="expression" priority="184" aboveAverage="0" equalAverage="0" bottom="0" percent="0" rank="0" text="" dxfId="23">
      <formula>AND(ISNUMBER(S9),S9&lt;=0.5)</formula>
    </cfRule>
    <cfRule type="expression" priority="185" aboveAverage="0" equalAverage="0" bottom="0" percent="0" rank="0" text="" dxfId="24">
      <formula>AND(ISNUMBER(S9),S9&gt;1)</formula>
    </cfRule>
    <cfRule type="expression" priority="186" aboveAverage="0" equalAverage="0" bottom="0" percent="0" rank="0" text="" dxfId="25">
      <formula>AND(ISNUMBER(S9),S9&gt;0.5,S9&lt;=1)</formula>
    </cfRule>
  </conditionalFormatting>
  <conditionalFormatting sqref="H10">
    <cfRule type="expression" priority="187" aboveAverage="0" equalAverage="0" bottom="0" percent="0" rank="0" text="" dxfId="23">
      <formula>AND(ISNUMBER(H10),H10&lt;=3)</formula>
    </cfRule>
    <cfRule type="expression" priority="188" aboveAverage="0" equalAverage="0" bottom="0" percent="0" rank="0" text="" dxfId="24">
      <formula>AND(ISNUMBER(H10),H10&gt;5)</formula>
    </cfRule>
    <cfRule type="expression" priority="189" aboveAverage="0" equalAverage="0" bottom="0" percent="0" rank="0" text="" dxfId="25">
      <formula>AND(ISNUMBER(H10),H10&gt;3,H10&lt;=5)</formula>
    </cfRule>
  </conditionalFormatting>
  <conditionalFormatting sqref="I10">
    <cfRule type="expression" priority="190" aboveAverage="0" equalAverage="0" bottom="0" percent="0" rank="0" text="" dxfId="23">
      <formula>AND(ISNUMBER(I10),I10&lt;=3)</formula>
    </cfRule>
    <cfRule type="expression" priority="191" aboveAverage="0" equalAverage="0" bottom="0" percent="0" rank="0" text="" dxfId="24">
      <formula>AND(ISNUMBER(I10),I10&gt;5)</formula>
    </cfRule>
    <cfRule type="expression" priority="192" aboveAverage="0" equalAverage="0" bottom="0" percent="0" rank="0" text="" dxfId="25">
      <formula>AND(ISNUMBER(I10),I10&gt;3,I10&lt;=5)</formula>
    </cfRule>
  </conditionalFormatting>
  <conditionalFormatting sqref="J10">
    <cfRule type="expression" priority="193" aboveAverage="0" equalAverage="0" bottom="0" percent="0" rank="0" text="" dxfId="23">
      <formula>AND(ISNUMBER(J10),J10&lt;=3)</formula>
    </cfRule>
    <cfRule type="expression" priority="194" aboveAverage="0" equalAverage="0" bottom="0" percent="0" rank="0" text="" dxfId="24">
      <formula>AND(ISNUMBER(J10),J10&gt;5)</formula>
    </cfRule>
    <cfRule type="expression" priority="195" aboveAverage="0" equalAverage="0" bottom="0" percent="0" rank="0" text="" dxfId="25">
      <formula>AND(ISNUMBER(J10),J10&gt;3,J10&lt;=5)</formula>
    </cfRule>
  </conditionalFormatting>
  <conditionalFormatting sqref="K10">
    <cfRule type="expression" priority="196" aboveAverage="0" equalAverage="0" bottom="0" percent="0" rank="0" text="" dxfId="23">
      <formula>AND(ISNUMBER(K10),K10&lt;=3)</formula>
    </cfRule>
    <cfRule type="expression" priority="197" aboveAverage="0" equalAverage="0" bottom="0" percent="0" rank="0" text="" dxfId="24">
      <formula>AND(ISNUMBER(K10),K10&gt;5)</formula>
    </cfRule>
    <cfRule type="expression" priority="198" aboveAverage="0" equalAverage="0" bottom="0" percent="0" rank="0" text="" dxfId="25">
      <formula>AND(ISNUMBER(K10),K10&gt;3,K10&lt;=5)</formula>
    </cfRule>
  </conditionalFormatting>
  <conditionalFormatting sqref="L10">
    <cfRule type="expression" priority="199" aboveAverage="0" equalAverage="0" bottom="0" percent="0" rank="0" text="" dxfId="23">
      <formula>AND(ISNUMBER(L10),L10&lt;=3)</formula>
    </cfRule>
    <cfRule type="expression" priority="200" aboveAverage="0" equalAverage="0" bottom="0" percent="0" rank="0" text="" dxfId="24">
      <formula>AND(ISNUMBER(L10),L10&gt;5)</formula>
    </cfRule>
    <cfRule type="expression" priority="201" aboveAverage="0" equalAverage="0" bottom="0" percent="0" rank="0" text="" dxfId="25">
      <formula>AND(ISNUMBER(L10),L10&gt;3,L10&lt;=5)</formula>
    </cfRule>
  </conditionalFormatting>
  <conditionalFormatting sqref="M10">
    <cfRule type="expression" priority="202" aboveAverage="0" equalAverage="0" bottom="0" percent="0" rank="0" text="" dxfId="23">
      <formula>AND(ISNUMBER(M10),M10&lt;=3)</formula>
    </cfRule>
    <cfRule type="expression" priority="203" aboveAverage="0" equalAverage="0" bottom="0" percent="0" rank="0" text="" dxfId="24">
      <formula>AND(ISNUMBER(M10),M10&gt;5)</formula>
    </cfRule>
    <cfRule type="expression" priority="204" aboveAverage="0" equalAverage="0" bottom="0" percent="0" rank="0" text="" dxfId="25">
      <formula>AND(ISNUMBER(M10),M10&gt;3,M10&lt;=5)</formula>
    </cfRule>
  </conditionalFormatting>
  <conditionalFormatting sqref="N10">
    <cfRule type="expression" priority="205" aboveAverage="0" equalAverage="0" bottom="0" percent="0" rank="0" text="" dxfId="23">
      <formula>AND(ISNUMBER(N10),N10&lt;=3)</formula>
    </cfRule>
    <cfRule type="expression" priority="206" aboveAverage="0" equalAverage="0" bottom="0" percent="0" rank="0" text="" dxfId="24">
      <formula>AND(ISNUMBER(N10),N10&gt;5)</formula>
    </cfRule>
    <cfRule type="expression" priority="207" aboveAverage="0" equalAverage="0" bottom="0" percent="0" rank="0" text="" dxfId="25">
      <formula>AND(ISNUMBER(N10),N10&gt;3,N10&lt;=5)</formula>
    </cfRule>
  </conditionalFormatting>
  <conditionalFormatting sqref="O10">
    <cfRule type="expression" priority="208" aboveAverage="0" equalAverage="0" bottom="0" percent="0" rank="0" text="" dxfId="23">
      <formula>AND(ISNUMBER(O10),O10&lt;=3)</formula>
    </cfRule>
    <cfRule type="expression" priority="209" aboveAverage="0" equalAverage="0" bottom="0" percent="0" rank="0" text="" dxfId="24">
      <formula>AND(ISNUMBER(O10),O10&gt;5)</formula>
    </cfRule>
    <cfRule type="expression" priority="210" aboveAverage="0" equalAverage="0" bottom="0" percent="0" rank="0" text="" dxfId="25">
      <formula>AND(ISNUMBER(O10),O10&gt;3,O10&lt;=5)</formula>
    </cfRule>
  </conditionalFormatting>
  <conditionalFormatting sqref="P10">
    <cfRule type="expression" priority="211" aboveAverage="0" equalAverage="0" bottom="0" percent="0" rank="0" text="" dxfId="23">
      <formula>AND(ISNUMBER(P10),P10&lt;=3)</formula>
    </cfRule>
    <cfRule type="expression" priority="212" aboveAverage="0" equalAverage="0" bottom="0" percent="0" rank="0" text="" dxfId="24">
      <formula>AND(ISNUMBER(P10),P10&gt;5)</formula>
    </cfRule>
    <cfRule type="expression" priority="213" aboveAverage="0" equalAverage="0" bottom="0" percent="0" rank="0" text="" dxfId="25">
      <formula>AND(ISNUMBER(P10),P10&gt;3,P10&lt;=5)</formula>
    </cfRule>
  </conditionalFormatting>
  <conditionalFormatting sqref="Q10">
    <cfRule type="expression" priority="214" aboveAverage="0" equalAverage="0" bottom="0" percent="0" rank="0" text="" dxfId="23">
      <formula>AND(ISNUMBER(Q10),Q10&lt;=3)</formula>
    </cfRule>
    <cfRule type="expression" priority="215" aboveAverage="0" equalAverage="0" bottom="0" percent="0" rank="0" text="" dxfId="24">
      <formula>AND(ISNUMBER(Q10),Q10&gt;5)</formula>
    </cfRule>
    <cfRule type="expression" priority="216" aboveAverage="0" equalAverage="0" bottom="0" percent="0" rank="0" text="" dxfId="25">
      <formula>AND(ISNUMBER(Q10),Q10&gt;3,Q10&lt;=5)</formula>
    </cfRule>
  </conditionalFormatting>
  <conditionalFormatting sqref="R10">
    <cfRule type="expression" priority="217" aboveAverage="0" equalAverage="0" bottom="0" percent="0" rank="0" text="" dxfId="23">
      <formula>AND(ISNUMBER(R10),R10&lt;=3)</formula>
    </cfRule>
    <cfRule type="expression" priority="218" aboveAverage="0" equalAverage="0" bottom="0" percent="0" rank="0" text="" dxfId="24">
      <formula>AND(ISNUMBER(R10),R10&gt;5)</formula>
    </cfRule>
    <cfRule type="expression" priority="219" aboveAverage="0" equalAverage="0" bottom="0" percent="0" rank="0" text="" dxfId="25">
      <formula>AND(ISNUMBER(R10),R10&gt;3,R10&lt;=5)</formula>
    </cfRule>
  </conditionalFormatting>
  <conditionalFormatting sqref="S10">
    <cfRule type="expression" priority="220" aboveAverage="0" equalAverage="0" bottom="0" percent="0" rank="0" text="" dxfId="23">
      <formula>AND(ISNUMBER(S10),S10&lt;=3)</formula>
    </cfRule>
    <cfRule type="expression" priority="221" aboveAverage="0" equalAverage="0" bottom="0" percent="0" rank="0" text="" dxfId="24">
      <formula>AND(ISNUMBER(S10),S10&gt;5)</formula>
    </cfRule>
    <cfRule type="expression" priority="222" aboveAverage="0" equalAverage="0" bottom="0" percent="0" rank="0" text="" dxfId="25">
      <formula>AND(ISNUMBER(S10),S10&gt;3,S10&lt;=5)</formula>
    </cfRule>
  </conditionalFormatting>
  <conditionalFormatting sqref="H12">
    <cfRule type="expression" priority="223" aboveAverage="0" equalAverage="0" bottom="0" percent="0" rank="0" text="" dxfId="23">
      <formula>AND(ISNUMBER(H12),H12&gt;=1)</formula>
    </cfRule>
    <cfRule type="expression" priority="224" aboveAverage="0" equalAverage="0" bottom="0" percent="0" rank="0" text="" dxfId="24">
      <formula>AND(ISNUMBER(H12),H12&lt;0.9)</formula>
    </cfRule>
    <cfRule type="expression" priority="225" aboveAverage="0" equalAverage="0" bottom="0" percent="0" rank="0" text="" dxfId="25">
      <formula>AND(ISNUMBER(H12),H12&gt;=0.9,H12&lt;1)</formula>
    </cfRule>
  </conditionalFormatting>
  <conditionalFormatting sqref="I12">
    <cfRule type="expression" priority="226" aboveAverage="0" equalAverage="0" bottom="0" percent="0" rank="0" text="" dxfId="23">
      <formula>AND(ISNUMBER(I12),I12&gt;=1)</formula>
    </cfRule>
    <cfRule type="expression" priority="227" aboveAverage="0" equalAverage="0" bottom="0" percent="0" rank="0" text="" dxfId="24">
      <formula>AND(ISNUMBER(I12),I12&lt;0.9)</formula>
    </cfRule>
    <cfRule type="expression" priority="228" aboveAverage="0" equalAverage="0" bottom="0" percent="0" rank="0" text="" dxfId="25">
      <formula>AND(ISNUMBER(I12),I12&gt;=0.9,I12&lt;1)</formula>
    </cfRule>
  </conditionalFormatting>
  <conditionalFormatting sqref="J12">
    <cfRule type="expression" priority="229" aboveAverage="0" equalAverage="0" bottom="0" percent="0" rank="0" text="" dxfId="23">
      <formula>AND(ISNUMBER(J12),J12&gt;=1)</formula>
    </cfRule>
    <cfRule type="expression" priority="230" aboveAverage="0" equalAverage="0" bottom="0" percent="0" rank="0" text="" dxfId="24">
      <formula>AND(ISNUMBER(J12),J12&lt;0.9)</formula>
    </cfRule>
    <cfRule type="expression" priority="231" aboveAverage="0" equalAverage="0" bottom="0" percent="0" rank="0" text="" dxfId="25">
      <formula>AND(ISNUMBER(J12),J12&gt;=0.9,J12&lt;1)</formula>
    </cfRule>
  </conditionalFormatting>
  <conditionalFormatting sqref="K12">
    <cfRule type="expression" priority="232" aboveAverage="0" equalAverage="0" bottom="0" percent="0" rank="0" text="" dxfId="23">
      <formula>AND(ISNUMBER(K12),K12&gt;=1)</formula>
    </cfRule>
    <cfRule type="expression" priority="233" aboveAverage="0" equalAverage="0" bottom="0" percent="0" rank="0" text="" dxfId="24">
      <formula>AND(ISNUMBER(K12),K12&lt;0.9)</formula>
    </cfRule>
    <cfRule type="expression" priority="234" aboveAverage="0" equalAverage="0" bottom="0" percent="0" rank="0" text="" dxfId="25">
      <formula>AND(ISNUMBER(K12),K12&gt;=0.9,K12&lt;1)</formula>
    </cfRule>
  </conditionalFormatting>
  <conditionalFormatting sqref="L12">
    <cfRule type="expression" priority="235" aboveAverage="0" equalAverage="0" bottom="0" percent="0" rank="0" text="" dxfId="23">
      <formula>AND(ISNUMBER(L12),L12&gt;=1)</formula>
    </cfRule>
    <cfRule type="expression" priority="236" aboveAverage="0" equalAverage="0" bottom="0" percent="0" rank="0" text="" dxfId="24">
      <formula>AND(ISNUMBER(L12),L12&lt;0.9)</formula>
    </cfRule>
    <cfRule type="expression" priority="237" aboveAverage="0" equalAverage="0" bottom="0" percent="0" rank="0" text="" dxfId="25">
      <formula>AND(ISNUMBER(L12),L12&gt;=0.9,L12&lt;1)</formula>
    </cfRule>
  </conditionalFormatting>
  <conditionalFormatting sqref="M12">
    <cfRule type="expression" priority="238" aboveAverage="0" equalAverage="0" bottom="0" percent="0" rank="0" text="" dxfId="23">
      <formula>AND(ISNUMBER(M12),M12&gt;=1)</formula>
    </cfRule>
    <cfRule type="expression" priority="239" aboveAverage="0" equalAverage="0" bottom="0" percent="0" rank="0" text="" dxfId="24">
      <formula>AND(ISNUMBER(M12),M12&lt;0.9)</formula>
    </cfRule>
    <cfRule type="expression" priority="240" aboveAverage="0" equalAverage="0" bottom="0" percent="0" rank="0" text="" dxfId="25">
      <formula>AND(ISNUMBER(M12),M12&gt;=0.9,M12&lt;1)</formula>
    </cfRule>
  </conditionalFormatting>
  <conditionalFormatting sqref="N12">
    <cfRule type="expression" priority="241" aboveAverage="0" equalAverage="0" bottom="0" percent="0" rank="0" text="" dxfId="23">
      <formula>AND(ISNUMBER(N12),N12&gt;=1)</formula>
    </cfRule>
    <cfRule type="expression" priority="242" aboveAverage="0" equalAverage="0" bottom="0" percent="0" rank="0" text="" dxfId="24">
      <formula>AND(ISNUMBER(N12),N12&lt;0.9)</formula>
    </cfRule>
    <cfRule type="expression" priority="243" aboveAverage="0" equalAverage="0" bottom="0" percent="0" rank="0" text="" dxfId="25">
      <formula>AND(ISNUMBER(N12),N12&gt;=0.9,N12&lt;1)</formula>
    </cfRule>
  </conditionalFormatting>
  <conditionalFormatting sqref="O12">
    <cfRule type="expression" priority="244" aboveAverage="0" equalAverage="0" bottom="0" percent="0" rank="0" text="" dxfId="23">
      <formula>AND(ISNUMBER(O12),O12&gt;=1)</formula>
    </cfRule>
    <cfRule type="expression" priority="245" aboveAverage="0" equalAverage="0" bottom="0" percent="0" rank="0" text="" dxfId="24">
      <formula>AND(ISNUMBER(O12),O12&lt;0.9)</formula>
    </cfRule>
    <cfRule type="expression" priority="246" aboveAverage="0" equalAverage="0" bottom="0" percent="0" rank="0" text="" dxfId="25">
      <formula>AND(ISNUMBER(O12),O12&gt;=0.9,O12&lt;1)</formula>
    </cfRule>
  </conditionalFormatting>
  <conditionalFormatting sqref="P12">
    <cfRule type="expression" priority="247" aboveAverage="0" equalAverage="0" bottom="0" percent="0" rank="0" text="" dxfId="23">
      <formula>AND(ISNUMBER(P12),P12&gt;=1)</formula>
    </cfRule>
    <cfRule type="expression" priority="248" aboveAverage="0" equalAverage="0" bottom="0" percent="0" rank="0" text="" dxfId="24">
      <formula>AND(ISNUMBER(P12),P12&lt;0.9)</formula>
    </cfRule>
    <cfRule type="expression" priority="249" aboveAverage="0" equalAverage="0" bottom="0" percent="0" rank="0" text="" dxfId="25">
      <formula>AND(ISNUMBER(P12),P12&gt;=0.9,P12&lt;1)</formula>
    </cfRule>
  </conditionalFormatting>
  <conditionalFormatting sqref="Q12">
    <cfRule type="expression" priority="250" aboveAverage="0" equalAverage="0" bottom="0" percent="0" rank="0" text="" dxfId="23">
      <formula>AND(ISNUMBER(Q12),Q12&gt;=1)</formula>
    </cfRule>
    <cfRule type="expression" priority="251" aboveAverage="0" equalAverage="0" bottom="0" percent="0" rank="0" text="" dxfId="24">
      <formula>AND(ISNUMBER(Q12),Q12&lt;0.9)</formula>
    </cfRule>
    <cfRule type="expression" priority="252" aboveAverage="0" equalAverage="0" bottom="0" percent="0" rank="0" text="" dxfId="25">
      <formula>AND(ISNUMBER(Q12),Q12&gt;=0.9,Q12&lt;1)</formula>
    </cfRule>
  </conditionalFormatting>
  <conditionalFormatting sqref="R12">
    <cfRule type="expression" priority="253" aboveAverage="0" equalAverage="0" bottom="0" percent="0" rank="0" text="" dxfId="23">
      <formula>AND(ISNUMBER(R12),R12&gt;=1)</formula>
    </cfRule>
    <cfRule type="expression" priority="254" aboveAverage="0" equalAverage="0" bottom="0" percent="0" rank="0" text="" dxfId="24">
      <formula>AND(ISNUMBER(R12),R12&lt;0.9)</formula>
    </cfRule>
    <cfRule type="expression" priority="255" aboveAverage="0" equalAverage="0" bottom="0" percent="0" rank="0" text="" dxfId="25">
      <formula>AND(ISNUMBER(R12),R12&gt;=0.9,R12&lt;1)</formula>
    </cfRule>
  </conditionalFormatting>
  <conditionalFormatting sqref="S12">
    <cfRule type="expression" priority="256" aboveAverage="0" equalAverage="0" bottom="0" percent="0" rank="0" text="" dxfId="23">
      <formula>AND(ISNUMBER(S12),S12&gt;=1)</formula>
    </cfRule>
    <cfRule type="expression" priority="257" aboveAverage="0" equalAverage="0" bottom="0" percent="0" rank="0" text="" dxfId="24">
      <formula>AND(ISNUMBER(S12),S12&lt;0.9)</formula>
    </cfRule>
    <cfRule type="expression" priority="258" aboveAverage="0" equalAverage="0" bottom="0" percent="0" rank="0" text="" dxfId="25">
      <formula>AND(ISNUMBER(S12),S12&gt;=0.9,S12&lt;1)</formula>
    </cfRule>
  </conditionalFormatting>
  <conditionalFormatting sqref="H14">
    <cfRule type="expression" priority="259" aboveAverage="0" equalAverage="0" bottom="0" percent="0" rank="0" text="" dxfId="23">
      <formula>AND(ISNUMBER(H14),H14&lt;=20)</formula>
    </cfRule>
    <cfRule type="expression" priority="260" aboveAverage="0" equalAverage="0" bottom="0" percent="0" rank="0" text="" dxfId="24">
      <formula>AND(ISNUMBER(H14),H14&gt;30)</formula>
    </cfRule>
    <cfRule type="expression" priority="261" aboveAverage="0" equalAverage="0" bottom="0" percent="0" rank="0" text="" dxfId="25">
      <formula>AND(ISNUMBER(H14),H14&gt;20,H14&lt;=30)</formula>
    </cfRule>
  </conditionalFormatting>
  <conditionalFormatting sqref="I14">
    <cfRule type="expression" priority="262" aboveAverage="0" equalAverage="0" bottom="0" percent="0" rank="0" text="" dxfId="23">
      <formula>AND(ISNUMBER(I14),I14&lt;=20)</formula>
    </cfRule>
    <cfRule type="expression" priority="263" aboveAverage="0" equalAverage="0" bottom="0" percent="0" rank="0" text="" dxfId="24">
      <formula>AND(ISNUMBER(I14),I14&gt;30)</formula>
    </cfRule>
    <cfRule type="expression" priority="264" aboveAverage="0" equalAverage="0" bottom="0" percent="0" rank="0" text="" dxfId="25">
      <formula>AND(ISNUMBER(I14),I14&gt;20,I14&lt;=30)</formula>
    </cfRule>
  </conditionalFormatting>
  <conditionalFormatting sqref="J14">
    <cfRule type="expression" priority="265" aboveAverage="0" equalAverage="0" bottom="0" percent="0" rank="0" text="" dxfId="23">
      <formula>AND(ISNUMBER(J14),J14&lt;=20)</formula>
    </cfRule>
    <cfRule type="expression" priority="266" aboveAverage="0" equalAverage="0" bottom="0" percent="0" rank="0" text="" dxfId="24">
      <formula>AND(ISNUMBER(J14),J14&gt;30)</formula>
    </cfRule>
    <cfRule type="expression" priority="267" aboveAverage="0" equalAverage="0" bottom="0" percent="0" rank="0" text="" dxfId="25">
      <formula>AND(ISNUMBER(J14),J14&gt;20,J14&lt;=30)</formula>
    </cfRule>
  </conditionalFormatting>
  <conditionalFormatting sqref="K14">
    <cfRule type="expression" priority="268" aboveAverage="0" equalAverage="0" bottom="0" percent="0" rank="0" text="" dxfId="23">
      <formula>AND(ISNUMBER(K14),K14&lt;=20)</formula>
    </cfRule>
    <cfRule type="expression" priority="269" aboveAverage="0" equalAverage="0" bottom="0" percent="0" rank="0" text="" dxfId="24">
      <formula>AND(ISNUMBER(K14),K14&gt;30)</formula>
    </cfRule>
    <cfRule type="expression" priority="270" aboveAverage="0" equalAverage="0" bottom="0" percent="0" rank="0" text="" dxfId="25">
      <formula>AND(ISNUMBER(K14),K14&gt;20,K14&lt;=30)</formula>
    </cfRule>
  </conditionalFormatting>
  <conditionalFormatting sqref="L14">
    <cfRule type="expression" priority="271" aboveAverage="0" equalAverage="0" bottom="0" percent="0" rank="0" text="" dxfId="23">
      <formula>AND(ISNUMBER(L14),L14&lt;=20)</formula>
    </cfRule>
    <cfRule type="expression" priority="272" aboveAverage="0" equalAverage="0" bottom="0" percent="0" rank="0" text="" dxfId="24">
      <formula>AND(ISNUMBER(L14),L14&gt;30)</formula>
    </cfRule>
    <cfRule type="expression" priority="273" aboveAverage="0" equalAverage="0" bottom="0" percent="0" rank="0" text="" dxfId="25">
      <formula>AND(ISNUMBER(L14),L14&gt;20,L14&lt;=30)</formula>
    </cfRule>
  </conditionalFormatting>
  <conditionalFormatting sqref="M14">
    <cfRule type="expression" priority="274" aboveAverage="0" equalAverage="0" bottom="0" percent="0" rank="0" text="" dxfId="23">
      <formula>AND(ISNUMBER(M14),M14&lt;=20)</formula>
    </cfRule>
    <cfRule type="expression" priority="275" aboveAverage="0" equalAverage="0" bottom="0" percent="0" rank="0" text="" dxfId="24">
      <formula>AND(ISNUMBER(M14),M14&gt;30)</formula>
    </cfRule>
    <cfRule type="expression" priority="276" aboveAverage="0" equalAverage="0" bottom="0" percent="0" rank="0" text="" dxfId="25">
      <formula>AND(ISNUMBER(M14),M14&gt;20,M14&lt;=30)</formula>
    </cfRule>
  </conditionalFormatting>
  <conditionalFormatting sqref="N14">
    <cfRule type="expression" priority="277" aboveAverage="0" equalAverage="0" bottom="0" percent="0" rank="0" text="" dxfId="23">
      <formula>AND(ISNUMBER(N14),N14&lt;=20)</formula>
    </cfRule>
    <cfRule type="expression" priority="278" aboveAverage="0" equalAverage="0" bottom="0" percent="0" rank="0" text="" dxfId="24">
      <formula>AND(ISNUMBER(N14),N14&gt;30)</formula>
    </cfRule>
    <cfRule type="expression" priority="279" aboveAverage="0" equalAverage="0" bottom="0" percent="0" rank="0" text="" dxfId="25">
      <formula>AND(ISNUMBER(N14),N14&gt;20,N14&lt;=30)</formula>
    </cfRule>
  </conditionalFormatting>
  <conditionalFormatting sqref="O14">
    <cfRule type="expression" priority="280" aboveAverage="0" equalAverage="0" bottom="0" percent="0" rank="0" text="" dxfId="23">
      <formula>AND(ISNUMBER(O14),O14&lt;=20)</formula>
    </cfRule>
    <cfRule type="expression" priority="281" aboveAverage="0" equalAverage="0" bottom="0" percent="0" rank="0" text="" dxfId="24">
      <formula>AND(ISNUMBER(O14),O14&gt;30)</formula>
    </cfRule>
    <cfRule type="expression" priority="282" aboveAverage="0" equalAverage="0" bottom="0" percent="0" rank="0" text="" dxfId="25">
      <formula>AND(ISNUMBER(O14),O14&gt;20,O14&lt;=30)</formula>
    </cfRule>
  </conditionalFormatting>
  <conditionalFormatting sqref="P14">
    <cfRule type="expression" priority="283" aboveAverage="0" equalAverage="0" bottom="0" percent="0" rank="0" text="" dxfId="23">
      <formula>AND(ISNUMBER(P14),P14&lt;=20)</formula>
    </cfRule>
    <cfRule type="expression" priority="284" aboveAverage="0" equalAverage="0" bottom="0" percent="0" rank="0" text="" dxfId="24">
      <formula>AND(ISNUMBER(P14),P14&gt;30)</formula>
    </cfRule>
    <cfRule type="expression" priority="285" aboveAverage="0" equalAverage="0" bottom="0" percent="0" rank="0" text="" dxfId="25">
      <formula>AND(ISNUMBER(P14),P14&gt;20,P14&lt;=30)</formula>
    </cfRule>
  </conditionalFormatting>
  <conditionalFormatting sqref="Q14">
    <cfRule type="expression" priority="286" aboveAverage="0" equalAverage="0" bottom="0" percent="0" rank="0" text="" dxfId="23">
      <formula>AND(ISNUMBER(Q14),Q14&lt;=20)</formula>
    </cfRule>
    <cfRule type="expression" priority="287" aboveAverage="0" equalAverage="0" bottom="0" percent="0" rank="0" text="" dxfId="24">
      <formula>AND(ISNUMBER(Q14),Q14&gt;30)</formula>
    </cfRule>
    <cfRule type="expression" priority="288" aboveAverage="0" equalAverage="0" bottom="0" percent="0" rank="0" text="" dxfId="25">
      <formula>AND(ISNUMBER(Q14),Q14&gt;20,Q14&lt;=30)</formula>
    </cfRule>
  </conditionalFormatting>
  <conditionalFormatting sqref="R14">
    <cfRule type="expression" priority="289" aboveAverage="0" equalAverage="0" bottom="0" percent="0" rank="0" text="" dxfId="23">
      <formula>AND(ISNUMBER(R14),R14&lt;=20)</formula>
    </cfRule>
    <cfRule type="expression" priority="290" aboveAverage="0" equalAverage="0" bottom="0" percent="0" rank="0" text="" dxfId="24">
      <formula>AND(ISNUMBER(R14),R14&gt;30)</formula>
    </cfRule>
    <cfRule type="expression" priority="291" aboveAverage="0" equalAverage="0" bottom="0" percent="0" rank="0" text="" dxfId="25">
      <formula>AND(ISNUMBER(R14),R14&gt;20,R14&lt;=30)</formula>
    </cfRule>
  </conditionalFormatting>
  <conditionalFormatting sqref="S14">
    <cfRule type="expression" priority="292" aboveAverage="0" equalAverage="0" bottom="0" percent="0" rank="0" text="" dxfId="23">
      <formula>AND(ISNUMBER(S14),S14&lt;=20)</formula>
    </cfRule>
    <cfRule type="expression" priority="293" aboveAverage="0" equalAverage="0" bottom="0" percent="0" rank="0" text="" dxfId="24">
      <formula>AND(ISNUMBER(S14),S14&gt;30)</formula>
    </cfRule>
    <cfRule type="expression" priority="294" aboveAverage="0" equalAverage="0" bottom="0" percent="0" rank="0" text="" dxfId="25">
      <formula>AND(ISNUMBER(S14),S14&gt;20,S14&lt;=30)</formula>
    </cfRule>
  </conditionalFormatting>
  <conditionalFormatting sqref="H16">
    <cfRule type="expression" priority="295" aboveAverage="0" equalAverage="0" bottom="0" percent="0" rank="0" text="" dxfId="23">
      <formula>AND(ISNUMBER(H16),H16&gt;=0.9)</formula>
    </cfRule>
    <cfRule type="expression" priority="296" aboveAverage="0" equalAverage="0" bottom="0" percent="0" rank="0" text="" dxfId="24">
      <formula>AND(ISNUMBER(H16),H16&lt;0.8)</formula>
    </cfRule>
    <cfRule type="expression" priority="297" aboveAverage="0" equalAverage="0" bottom="0" percent="0" rank="0" text="" dxfId="25">
      <formula>AND(ISNUMBER(H16),H16&gt;=0.8,H16&lt;0.9)</formula>
    </cfRule>
  </conditionalFormatting>
  <conditionalFormatting sqref="I16">
    <cfRule type="expression" priority="298" aboveAverage="0" equalAverage="0" bottom="0" percent="0" rank="0" text="" dxfId="23">
      <formula>AND(ISNUMBER(I16),I16&gt;=0.9)</formula>
    </cfRule>
    <cfRule type="expression" priority="299" aboveAverage="0" equalAverage="0" bottom="0" percent="0" rank="0" text="" dxfId="24">
      <formula>AND(ISNUMBER(I16),I16&lt;0.8)</formula>
    </cfRule>
    <cfRule type="expression" priority="300" aboveAverage="0" equalAverage="0" bottom="0" percent="0" rank="0" text="" dxfId="25">
      <formula>AND(ISNUMBER(I16),I16&gt;=0.8,I16&lt;0.9)</formula>
    </cfRule>
  </conditionalFormatting>
  <conditionalFormatting sqref="J16">
    <cfRule type="expression" priority="301" aboveAverage="0" equalAverage="0" bottom="0" percent="0" rank="0" text="" dxfId="23">
      <formula>AND(ISNUMBER(J16),J16&gt;=0.9)</formula>
    </cfRule>
    <cfRule type="expression" priority="302" aboveAverage="0" equalAverage="0" bottom="0" percent="0" rank="0" text="" dxfId="24">
      <formula>AND(ISNUMBER(J16),J16&lt;0.8)</formula>
    </cfRule>
    <cfRule type="expression" priority="303" aboveAverage="0" equalAverage="0" bottom="0" percent="0" rank="0" text="" dxfId="25">
      <formula>AND(ISNUMBER(J16),J16&gt;=0.8,J16&lt;0.9)</formula>
    </cfRule>
  </conditionalFormatting>
  <conditionalFormatting sqref="K16">
    <cfRule type="expression" priority="304" aboveAverage="0" equalAverage="0" bottom="0" percent="0" rank="0" text="" dxfId="23">
      <formula>AND(ISNUMBER(K16),K16&gt;=0.9)</formula>
    </cfRule>
    <cfRule type="expression" priority="305" aboveAverage="0" equalAverage="0" bottom="0" percent="0" rank="0" text="" dxfId="24">
      <formula>AND(ISNUMBER(K16),K16&lt;0.8)</formula>
    </cfRule>
    <cfRule type="expression" priority="306" aboveAverage="0" equalAverage="0" bottom="0" percent="0" rank="0" text="" dxfId="25">
      <formula>AND(ISNUMBER(K16),K16&gt;=0.8,K16&lt;0.9)</formula>
    </cfRule>
  </conditionalFormatting>
  <conditionalFormatting sqref="L16">
    <cfRule type="expression" priority="307" aboveAverage="0" equalAverage="0" bottom="0" percent="0" rank="0" text="" dxfId="23">
      <formula>AND(ISNUMBER(L16),L16&gt;=0.9)</formula>
    </cfRule>
    <cfRule type="expression" priority="308" aboveAverage="0" equalAverage="0" bottom="0" percent="0" rank="0" text="" dxfId="24">
      <formula>AND(ISNUMBER(L16),L16&lt;0.8)</formula>
    </cfRule>
    <cfRule type="expression" priority="309" aboveAverage="0" equalAverage="0" bottom="0" percent="0" rank="0" text="" dxfId="25">
      <formula>AND(ISNUMBER(L16),L16&gt;=0.8,L16&lt;0.9)</formula>
    </cfRule>
  </conditionalFormatting>
  <conditionalFormatting sqref="M16">
    <cfRule type="expression" priority="310" aboveAverage="0" equalAverage="0" bottom="0" percent="0" rank="0" text="" dxfId="23">
      <formula>AND(ISNUMBER(M16),M16&gt;=0.9)</formula>
    </cfRule>
    <cfRule type="expression" priority="311" aboveAverage="0" equalAverage="0" bottom="0" percent="0" rank="0" text="" dxfId="24">
      <formula>AND(ISNUMBER(M16),M16&lt;0.8)</formula>
    </cfRule>
    <cfRule type="expression" priority="312" aboveAverage="0" equalAverage="0" bottom="0" percent="0" rank="0" text="" dxfId="25">
      <formula>AND(ISNUMBER(M16),M16&gt;=0.8,M16&lt;0.9)</formula>
    </cfRule>
  </conditionalFormatting>
  <conditionalFormatting sqref="N16">
    <cfRule type="expression" priority="313" aboveAverage="0" equalAverage="0" bottom="0" percent="0" rank="0" text="" dxfId="23">
      <formula>AND(ISNUMBER(N16),N16&gt;=0.9)</formula>
    </cfRule>
    <cfRule type="expression" priority="314" aboveAverage="0" equalAverage="0" bottom="0" percent="0" rank="0" text="" dxfId="24">
      <formula>AND(ISNUMBER(N16),N16&lt;0.8)</formula>
    </cfRule>
    <cfRule type="expression" priority="315" aboveAverage="0" equalAverage="0" bottom="0" percent="0" rank="0" text="" dxfId="25">
      <formula>AND(ISNUMBER(N16),N16&gt;=0.8,N16&lt;0.9)</formula>
    </cfRule>
  </conditionalFormatting>
  <conditionalFormatting sqref="O16">
    <cfRule type="expression" priority="316" aboveAverage="0" equalAverage="0" bottom="0" percent="0" rank="0" text="" dxfId="23">
      <formula>AND(ISNUMBER(O16),O16&gt;=0.9)</formula>
    </cfRule>
    <cfRule type="expression" priority="317" aboveAverage="0" equalAverage="0" bottom="0" percent="0" rank="0" text="" dxfId="24">
      <formula>AND(ISNUMBER(O16),O16&lt;0.8)</formula>
    </cfRule>
    <cfRule type="expression" priority="318" aboveAverage="0" equalAverage="0" bottom="0" percent="0" rank="0" text="" dxfId="25">
      <formula>AND(ISNUMBER(O16),O16&gt;=0.8,O16&lt;0.9)</formula>
    </cfRule>
  </conditionalFormatting>
  <conditionalFormatting sqref="P16">
    <cfRule type="expression" priority="319" aboveAverage="0" equalAverage="0" bottom="0" percent="0" rank="0" text="" dxfId="23">
      <formula>AND(ISNUMBER(P16),P16&gt;=0.9)</formula>
    </cfRule>
    <cfRule type="expression" priority="320" aboveAverage="0" equalAverage="0" bottom="0" percent="0" rank="0" text="" dxfId="24">
      <formula>AND(ISNUMBER(P16),P16&lt;0.8)</formula>
    </cfRule>
    <cfRule type="expression" priority="321" aboveAverage="0" equalAverage="0" bottom="0" percent="0" rank="0" text="" dxfId="25">
      <formula>AND(ISNUMBER(P16),P16&gt;=0.8,P16&lt;0.9)</formula>
    </cfRule>
  </conditionalFormatting>
  <conditionalFormatting sqref="Q16">
    <cfRule type="expression" priority="322" aboveAverage="0" equalAverage="0" bottom="0" percent="0" rank="0" text="" dxfId="23">
      <formula>AND(ISNUMBER(Q16),Q16&gt;=0.9)</formula>
    </cfRule>
    <cfRule type="expression" priority="323" aboveAverage="0" equalAverage="0" bottom="0" percent="0" rank="0" text="" dxfId="24">
      <formula>AND(ISNUMBER(Q16),Q16&lt;0.8)</formula>
    </cfRule>
    <cfRule type="expression" priority="324" aboveAverage="0" equalAverage="0" bottom="0" percent="0" rank="0" text="" dxfId="25">
      <formula>AND(ISNUMBER(Q16),Q16&gt;=0.8,Q16&lt;0.9)</formula>
    </cfRule>
  </conditionalFormatting>
  <conditionalFormatting sqref="R16">
    <cfRule type="expression" priority="325" aboveAverage="0" equalAverage="0" bottom="0" percent="0" rank="0" text="" dxfId="23">
      <formula>AND(ISNUMBER(R16),R16&gt;=0.9)</formula>
    </cfRule>
    <cfRule type="expression" priority="326" aboveAverage="0" equalAverage="0" bottom="0" percent="0" rank="0" text="" dxfId="24">
      <formula>AND(ISNUMBER(R16),R16&lt;0.8)</formula>
    </cfRule>
    <cfRule type="expression" priority="327" aboveAverage="0" equalAverage="0" bottom="0" percent="0" rank="0" text="" dxfId="25">
      <formula>AND(ISNUMBER(R16),R16&gt;=0.8,R16&lt;0.9)</formula>
    </cfRule>
  </conditionalFormatting>
  <conditionalFormatting sqref="S16">
    <cfRule type="expression" priority="328" aboveAverage="0" equalAverage="0" bottom="0" percent="0" rank="0" text="" dxfId="23">
      <formula>AND(ISNUMBER(S16),S16&gt;=0.9)</formula>
    </cfRule>
    <cfRule type="expression" priority="329" aboveAverage="0" equalAverage="0" bottom="0" percent="0" rank="0" text="" dxfId="24">
      <formula>AND(ISNUMBER(S16),S16&lt;0.8)</formula>
    </cfRule>
    <cfRule type="expression" priority="330" aboveAverage="0" equalAverage="0" bottom="0" percent="0" rank="0" text="" dxfId="25">
      <formula>AND(ISNUMBER(S16),S16&gt;=0.8,S16&lt;0.9)</formula>
    </cfRule>
  </conditionalFormatting>
  <conditionalFormatting sqref="H18">
    <cfRule type="expression" priority="331" aboveAverage="0" equalAverage="0" bottom="0" percent="0" rank="0" text="" dxfId="23">
      <formula>AND(ISNUMBER(H18),H18&lt;=0.2)</formula>
    </cfRule>
    <cfRule type="expression" priority="332" aboveAverage="0" equalAverage="0" bottom="0" percent="0" rank="0" text="" dxfId="24">
      <formula>AND(ISNUMBER(H18),H18&gt;0.3)</formula>
    </cfRule>
    <cfRule type="expression" priority="333" aboveAverage="0" equalAverage="0" bottom="0" percent="0" rank="0" text="" dxfId="25">
      <formula>AND(ISNUMBER(H18),H18&gt;0.2,H18&lt;=0.3)</formula>
    </cfRule>
  </conditionalFormatting>
  <conditionalFormatting sqref="I18">
    <cfRule type="expression" priority="334" aboveAverage="0" equalAverage="0" bottom="0" percent="0" rank="0" text="" dxfId="23">
      <formula>AND(ISNUMBER(I18),I18&lt;=0.2)</formula>
    </cfRule>
    <cfRule type="expression" priority="335" aboveAverage="0" equalAverage="0" bottom="0" percent="0" rank="0" text="" dxfId="24">
      <formula>AND(ISNUMBER(I18),I18&gt;0.3)</formula>
    </cfRule>
    <cfRule type="expression" priority="336" aboveAverage="0" equalAverage="0" bottom="0" percent="0" rank="0" text="" dxfId="25">
      <formula>AND(ISNUMBER(I18),I18&gt;0.2,I18&lt;=0.3)</formula>
    </cfRule>
  </conditionalFormatting>
  <conditionalFormatting sqref="J18">
    <cfRule type="expression" priority="337" aboveAverage="0" equalAverage="0" bottom="0" percent="0" rank="0" text="" dxfId="23">
      <formula>AND(ISNUMBER(J18),J18&lt;=0.2)</formula>
    </cfRule>
    <cfRule type="expression" priority="338" aboveAverage="0" equalAverage="0" bottom="0" percent="0" rank="0" text="" dxfId="24">
      <formula>AND(ISNUMBER(J18),J18&gt;0.3)</formula>
    </cfRule>
    <cfRule type="expression" priority="339" aboveAverage="0" equalAverage="0" bottom="0" percent="0" rank="0" text="" dxfId="25">
      <formula>AND(ISNUMBER(J18),J18&gt;0.2,J18&lt;=0.3)</formula>
    </cfRule>
  </conditionalFormatting>
  <conditionalFormatting sqref="K18">
    <cfRule type="expression" priority="340" aboveAverage="0" equalAverage="0" bottom="0" percent="0" rank="0" text="" dxfId="23">
      <formula>AND(ISNUMBER(K18),K18&lt;=0.2)</formula>
    </cfRule>
    <cfRule type="expression" priority="341" aboveAverage="0" equalAverage="0" bottom="0" percent="0" rank="0" text="" dxfId="24">
      <formula>AND(ISNUMBER(K18),K18&gt;0.3)</formula>
    </cfRule>
    <cfRule type="expression" priority="342" aboveAverage="0" equalAverage="0" bottom="0" percent="0" rank="0" text="" dxfId="25">
      <formula>AND(ISNUMBER(K18),K18&gt;0.2,K18&lt;=0.3)</formula>
    </cfRule>
  </conditionalFormatting>
  <conditionalFormatting sqref="L18">
    <cfRule type="expression" priority="343" aboveAverage="0" equalAverage="0" bottom="0" percent="0" rank="0" text="" dxfId="23">
      <formula>AND(ISNUMBER(L18),L18&lt;=0.2)</formula>
    </cfRule>
    <cfRule type="expression" priority="344" aboveAverage="0" equalAverage="0" bottom="0" percent="0" rank="0" text="" dxfId="24">
      <formula>AND(ISNUMBER(L18),L18&gt;0.3)</formula>
    </cfRule>
    <cfRule type="expression" priority="345" aboveAverage="0" equalAverage="0" bottom="0" percent="0" rank="0" text="" dxfId="25">
      <formula>AND(ISNUMBER(L18),L18&gt;0.2,L18&lt;=0.3)</formula>
    </cfRule>
  </conditionalFormatting>
  <conditionalFormatting sqref="M18">
    <cfRule type="expression" priority="346" aboveAverage="0" equalAverage="0" bottom="0" percent="0" rank="0" text="" dxfId="23">
      <formula>AND(ISNUMBER(M18),M18&lt;=0.2)</formula>
    </cfRule>
    <cfRule type="expression" priority="347" aboveAverage="0" equalAverage="0" bottom="0" percent="0" rank="0" text="" dxfId="24">
      <formula>AND(ISNUMBER(M18),M18&gt;0.3)</formula>
    </cfRule>
    <cfRule type="expression" priority="348" aboveAverage="0" equalAverage="0" bottom="0" percent="0" rank="0" text="" dxfId="25">
      <formula>AND(ISNUMBER(M18),M18&gt;0.2,M18&lt;=0.3)</formula>
    </cfRule>
  </conditionalFormatting>
  <conditionalFormatting sqref="N18">
    <cfRule type="expression" priority="349" aboveAverage="0" equalAverage="0" bottom="0" percent="0" rank="0" text="" dxfId="23">
      <formula>AND(ISNUMBER(N18),N18&lt;=0.2)</formula>
    </cfRule>
    <cfRule type="expression" priority="350" aboveAverage="0" equalAverage="0" bottom="0" percent="0" rank="0" text="" dxfId="24">
      <formula>AND(ISNUMBER(N18),N18&gt;0.3)</formula>
    </cfRule>
    <cfRule type="expression" priority="351" aboveAverage="0" equalAverage="0" bottom="0" percent="0" rank="0" text="" dxfId="25">
      <formula>AND(ISNUMBER(N18),N18&gt;0.2,N18&lt;=0.3)</formula>
    </cfRule>
  </conditionalFormatting>
  <conditionalFormatting sqref="O18">
    <cfRule type="expression" priority="352" aboveAverage="0" equalAverage="0" bottom="0" percent="0" rank="0" text="" dxfId="23">
      <formula>AND(ISNUMBER(O18),O18&lt;=0.2)</formula>
    </cfRule>
    <cfRule type="expression" priority="353" aboveAverage="0" equalAverage="0" bottom="0" percent="0" rank="0" text="" dxfId="24">
      <formula>AND(ISNUMBER(O18),O18&gt;0.3)</formula>
    </cfRule>
    <cfRule type="expression" priority="354" aboveAverage="0" equalAverage="0" bottom="0" percent="0" rank="0" text="" dxfId="25">
      <formula>AND(ISNUMBER(O18),O18&gt;0.2,O18&lt;=0.3)</formula>
    </cfRule>
  </conditionalFormatting>
  <conditionalFormatting sqref="P18">
    <cfRule type="expression" priority="355" aboveAverage="0" equalAverage="0" bottom="0" percent="0" rank="0" text="" dxfId="23">
      <formula>AND(ISNUMBER(P18),P18&lt;=0.2)</formula>
    </cfRule>
    <cfRule type="expression" priority="356" aboveAverage="0" equalAverage="0" bottom="0" percent="0" rank="0" text="" dxfId="24">
      <formula>AND(ISNUMBER(P18),P18&gt;0.3)</formula>
    </cfRule>
    <cfRule type="expression" priority="357" aboveAverage="0" equalAverage="0" bottom="0" percent="0" rank="0" text="" dxfId="25">
      <formula>AND(ISNUMBER(P18),P18&gt;0.2,P18&lt;=0.3)</formula>
    </cfRule>
  </conditionalFormatting>
  <conditionalFormatting sqref="Q18">
    <cfRule type="expression" priority="358" aboveAverage="0" equalAverage="0" bottom="0" percent="0" rank="0" text="" dxfId="23">
      <formula>AND(ISNUMBER(Q18),Q18&lt;=0.2)</formula>
    </cfRule>
    <cfRule type="expression" priority="359" aboveAverage="0" equalAverage="0" bottom="0" percent="0" rank="0" text="" dxfId="24">
      <formula>AND(ISNUMBER(Q18),Q18&gt;0.3)</formula>
    </cfRule>
    <cfRule type="expression" priority="360" aboveAverage="0" equalAverage="0" bottom="0" percent="0" rank="0" text="" dxfId="25">
      <formula>AND(ISNUMBER(Q18),Q18&gt;0.2,Q18&lt;=0.3)</formula>
    </cfRule>
  </conditionalFormatting>
  <conditionalFormatting sqref="R18">
    <cfRule type="expression" priority="361" aboveAverage="0" equalAverage="0" bottom="0" percent="0" rank="0" text="" dxfId="23">
      <formula>AND(ISNUMBER(R18),R18&lt;=0.2)</formula>
    </cfRule>
    <cfRule type="expression" priority="362" aboveAverage="0" equalAverage="0" bottom="0" percent="0" rank="0" text="" dxfId="24">
      <formula>AND(ISNUMBER(R18),R18&gt;0.3)</formula>
    </cfRule>
    <cfRule type="expression" priority="363" aboveAverage="0" equalAverage="0" bottom="0" percent="0" rank="0" text="" dxfId="25">
      <formula>AND(ISNUMBER(R18),R18&gt;0.2,R18&lt;=0.3)</formula>
    </cfRule>
  </conditionalFormatting>
  <conditionalFormatting sqref="S18">
    <cfRule type="expression" priority="364" aboveAverage="0" equalAverage="0" bottom="0" percent="0" rank="0" text="" dxfId="23">
      <formula>AND(ISNUMBER(S18),S18&lt;=0.2)</formula>
    </cfRule>
    <cfRule type="expression" priority="365" aboveAverage="0" equalAverage="0" bottom="0" percent="0" rank="0" text="" dxfId="24">
      <formula>AND(ISNUMBER(S18),S18&gt;0.3)</formula>
    </cfRule>
    <cfRule type="expression" priority="366" aboveAverage="0" equalAverage="0" bottom="0" percent="0" rank="0" text="" dxfId="25">
      <formula>AND(ISNUMBER(S18),S18&gt;0.2,S18&lt;=0.3)</formula>
    </cfRule>
  </conditionalFormatting>
  <conditionalFormatting sqref="H19">
    <cfRule type="expression" priority="367" aboveAverage="0" equalAverage="0" bottom="0" percent="0" rank="0" text="" dxfId="23">
      <formula>AND(ISNUMBER(H19),H19&lt;=0.04)</formula>
    </cfRule>
    <cfRule type="expression" priority="368" aboveAverage="0" equalAverage="0" bottom="0" percent="0" rank="0" text="" dxfId="24">
      <formula>AND(ISNUMBER(H19),H19&gt;0.06)</formula>
    </cfRule>
    <cfRule type="expression" priority="369" aboveAverage="0" equalAverage="0" bottom="0" percent="0" rank="0" text="" dxfId="25">
      <formula>AND(ISNUMBER(H19),H19&gt;0.04,H19&lt;=0.06)</formula>
    </cfRule>
  </conditionalFormatting>
  <conditionalFormatting sqref="I19">
    <cfRule type="expression" priority="370" aboveAverage="0" equalAverage="0" bottom="0" percent="0" rank="0" text="" dxfId="23">
      <formula>AND(ISNUMBER(I19),I19&lt;=0.04)</formula>
    </cfRule>
    <cfRule type="expression" priority="371" aboveAverage="0" equalAverage="0" bottom="0" percent="0" rank="0" text="" dxfId="24">
      <formula>AND(ISNUMBER(I19),I19&gt;0.06)</formula>
    </cfRule>
    <cfRule type="expression" priority="372" aboveAverage="0" equalAverage="0" bottom="0" percent="0" rank="0" text="" dxfId="25">
      <formula>AND(ISNUMBER(I19),I19&gt;0.04,I19&lt;=0.06)</formula>
    </cfRule>
  </conditionalFormatting>
  <conditionalFormatting sqref="J19">
    <cfRule type="expression" priority="373" aboveAverage="0" equalAverage="0" bottom="0" percent="0" rank="0" text="" dxfId="23">
      <formula>AND(ISNUMBER(J19),J19&lt;=0.04)</formula>
    </cfRule>
    <cfRule type="expression" priority="374" aboveAverage="0" equalAverage="0" bottom="0" percent="0" rank="0" text="" dxfId="24">
      <formula>AND(ISNUMBER(J19),J19&gt;0.06)</formula>
    </cfRule>
    <cfRule type="expression" priority="375" aboveAverage="0" equalAverage="0" bottom="0" percent="0" rank="0" text="" dxfId="25">
      <formula>AND(ISNUMBER(J19),J19&gt;0.04,J19&lt;=0.06)</formula>
    </cfRule>
  </conditionalFormatting>
  <conditionalFormatting sqref="K19">
    <cfRule type="expression" priority="376" aboveAverage="0" equalAverage="0" bottom="0" percent="0" rank="0" text="" dxfId="23">
      <formula>AND(ISNUMBER(K19),K19&lt;=0.04)</formula>
    </cfRule>
    <cfRule type="expression" priority="377" aboveAverage="0" equalAverage="0" bottom="0" percent="0" rank="0" text="" dxfId="24">
      <formula>AND(ISNUMBER(K19),K19&gt;0.06)</formula>
    </cfRule>
    <cfRule type="expression" priority="378" aboveAverage="0" equalAverage="0" bottom="0" percent="0" rank="0" text="" dxfId="25">
      <formula>AND(ISNUMBER(K19),K19&gt;0.04,K19&lt;=0.06)</formula>
    </cfRule>
  </conditionalFormatting>
  <conditionalFormatting sqref="L19">
    <cfRule type="expression" priority="379" aboveAverage="0" equalAverage="0" bottom="0" percent="0" rank="0" text="" dxfId="23">
      <formula>AND(ISNUMBER(L19),L19&lt;=0.04)</formula>
    </cfRule>
    <cfRule type="expression" priority="380" aboveAverage="0" equalAverage="0" bottom="0" percent="0" rank="0" text="" dxfId="24">
      <formula>AND(ISNUMBER(L19),L19&gt;0.06)</formula>
    </cfRule>
    <cfRule type="expression" priority="381" aboveAverage="0" equalAverage="0" bottom="0" percent="0" rank="0" text="" dxfId="25">
      <formula>AND(ISNUMBER(L19),L19&gt;0.04,L19&lt;=0.06)</formula>
    </cfRule>
  </conditionalFormatting>
  <conditionalFormatting sqref="M19">
    <cfRule type="expression" priority="382" aboveAverage="0" equalAverage="0" bottom="0" percent="0" rank="0" text="" dxfId="23">
      <formula>AND(ISNUMBER(M19),M19&lt;=0.04)</formula>
    </cfRule>
    <cfRule type="expression" priority="383" aboveAverage="0" equalAverage="0" bottom="0" percent="0" rank="0" text="" dxfId="24">
      <formula>AND(ISNUMBER(M19),M19&gt;0.06)</formula>
    </cfRule>
    <cfRule type="expression" priority="384" aboveAverage="0" equalAverage="0" bottom="0" percent="0" rank="0" text="" dxfId="25">
      <formula>AND(ISNUMBER(M19),M19&gt;0.04,M19&lt;=0.06)</formula>
    </cfRule>
  </conditionalFormatting>
  <conditionalFormatting sqref="N19">
    <cfRule type="expression" priority="385" aboveAverage="0" equalAverage="0" bottom="0" percent="0" rank="0" text="" dxfId="23">
      <formula>AND(ISNUMBER(N19),N19&lt;=0.04)</formula>
    </cfRule>
    <cfRule type="expression" priority="386" aboveAverage="0" equalAverage="0" bottom="0" percent="0" rank="0" text="" dxfId="24">
      <formula>AND(ISNUMBER(N19),N19&gt;0.06)</formula>
    </cfRule>
    <cfRule type="expression" priority="387" aboveAverage="0" equalAverage="0" bottom="0" percent="0" rank="0" text="" dxfId="25">
      <formula>AND(ISNUMBER(N19),N19&gt;0.04,N19&lt;=0.06)</formula>
    </cfRule>
  </conditionalFormatting>
  <conditionalFormatting sqref="O19">
    <cfRule type="expression" priority="388" aboveAverage="0" equalAverage="0" bottom="0" percent="0" rank="0" text="" dxfId="23">
      <formula>AND(ISNUMBER(O19),O19&lt;=0.04)</formula>
    </cfRule>
    <cfRule type="expression" priority="389" aboveAverage="0" equalAverage="0" bottom="0" percent="0" rank="0" text="" dxfId="24">
      <formula>AND(ISNUMBER(O19),O19&gt;0.06)</formula>
    </cfRule>
    <cfRule type="expression" priority="390" aboveAverage="0" equalAverage="0" bottom="0" percent="0" rank="0" text="" dxfId="25">
      <formula>AND(ISNUMBER(O19),O19&gt;0.04,O19&lt;=0.06)</formula>
    </cfRule>
  </conditionalFormatting>
  <conditionalFormatting sqref="P19">
    <cfRule type="expression" priority="391" aboveAverage="0" equalAverage="0" bottom="0" percent="0" rank="0" text="" dxfId="23">
      <formula>AND(ISNUMBER(P19),P19&lt;=0.04)</formula>
    </cfRule>
    <cfRule type="expression" priority="392" aboveAverage="0" equalAverage="0" bottom="0" percent="0" rank="0" text="" dxfId="24">
      <formula>AND(ISNUMBER(P19),P19&gt;0.06)</formula>
    </cfRule>
    <cfRule type="expression" priority="393" aboveAverage="0" equalAverage="0" bottom="0" percent="0" rank="0" text="" dxfId="25">
      <formula>AND(ISNUMBER(P19),P19&gt;0.04,P19&lt;=0.06)</formula>
    </cfRule>
  </conditionalFormatting>
  <conditionalFormatting sqref="Q19">
    <cfRule type="expression" priority="394" aboveAverage="0" equalAverage="0" bottom="0" percent="0" rank="0" text="" dxfId="23">
      <formula>AND(ISNUMBER(Q19),Q19&lt;=0.04)</formula>
    </cfRule>
    <cfRule type="expression" priority="395" aboveAverage="0" equalAverage="0" bottom="0" percent="0" rank="0" text="" dxfId="24">
      <formula>AND(ISNUMBER(Q19),Q19&gt;0.06)</formula>
    </cfRule>
    <cfRule type="expression" priority="396" aboveAverage="0" equalAverage="0" bottom="0" percent="0" rank="0" text="" dxfId="25">
      <formula>AND(ISNUMBER(Q19),Q19&gt;0.04,Q19&lt;=0.06)</formula>
    </cfRule>
  </conditionalFormatting>
  <conditionalFormatting sqref="R19">
    <cfRule type="expression" priority="397" aboveAverage="0" equalAverage="0" bottom="0" percent="0" rank="0" text="" dxfId="23">
      <formula>AND(ISNUMBER(R19),R19&lt;=0.04)</formula>
    </cfRule>
    <cfRule type="expression" priority="398" aboveAverage="0" equalAverage="0" bottom="0" percent="0" rank="0" text="" dxfId="24">
      <formula>AND(ISNUMBER(R19),R19&gt;0.06)</formula>
    </cfRule>
    <cfRule type="expression" priority="399" aboveAverage="0" equalAverage="0" bottom="0" percent="0" rank="0" text="" dxfId="25">
      <formula>AND(ISNUMBER(R19),R19&gt;0.04,R19&lt;=0.06)</formula>
    </cfRule>
  </conditionalFormatting>
  <conditionalFormatting sqref="S19">
    <cfRule type="expression" priority="400" aboveAverage="0" equalAverage="0" bottom="0" percent="0" rank="0" text="" dxfId="23">
      <formula>AND(ISNUMBER(S19),S19&lt;=0.04)</formula>
    </cfRule>
    <cfRule type="expression" priority="401" aboveAverage="0" equalAverage="0" bottom="0" percent="0" rank="0" text="" dxfId="24">
      <formula>AND(ISNUMBER(S19),S19&gt;0.06)</formula>
    </cfRule>
    <cfRule type="expression" priority="402" aboveAverage="0" equalAverage="0" bottom="0" percent="0" rank="0" text="" dxfId="25">
      <formula>AND(ISNUMBER(S19),S19&gt;0.04,S19&lt;=0.06)</formula>
    </cfRule>
  </conditionalFormatting>
  <conditionalFormatting sqref="H20">
    <cfRule type="expression" priority="403" aboveAverage="0" equalAverage="0" bottom="0" percent="0" rank="0" text="" dxfId="23">
      <formula>AND(ISNUMBER(H20),H20&gt;=0.95)</formula>
    </cfRule>
    <cfRule type="expression" priority="404" aboveAverage="0" equalAverage="0" bottom="0" percent="0" rank="0" text="" dxfId="24">
      <formula>AND(ISNUMBER(H20),H20&lt;0.9)</formula>
    </cfRule>
    <cfRule type="expression" priority="405" aboveAverage="0" equalAverage="0" bottom="0" percent="0" rank="0" text="" dxfId="25">
      <formula>AND(ISNUMBER(H20),H20&gt;=0.9,H20&lt;0.95)</formula>
    </cfRule>
  </conditionalFormatting>
  <conditionalFormatting sqref="I20">
    <cfRule type="expression" priority="406" aboveAverage="0" equalAverage="0" bottom="0" percent="0" rank="0" text="" dxfId="23">
      <formula>AND(ISNUMBER(I20),I20&gt;=0.95)</formula>
    </cfRule>
    <cfRule type="expression" priority="407" aboveAverage="0" equalAverage="0" bottom="0" percent="0" rank="0" text="" dxfId="24">
      <formula>AND(ISNUMBER(I20),I20&lt;0.9)</formula>
    </cfRule>
    <cfRule type="expression" priority="408" aboveAverage="0" equalAverage="0" bottom="0" percent="0" rank="0" text="" dxfId="25">
      <formula>AND(ISNUMBER(I20),I20&gt;=0.9,I20&lt;0.95)</formula>
    </cfRule>
  </conditionalFormatting>
  <conditionalFormatting sqref="J20">
    <cfRule type="expression" priority="409" aboveAverage="0" equalAverage="0" bottom="0" percent="0" rank="0" text="" dxfId="23">
      <formula>AND(ISNUMBER(J20),J20&gt;=0.95)</formula>
    </cfRule>
    <cfRule type="expression" priority="410" aboveAverage="0" equalAverage="0" bottom="0" percent="0" rank="0" text="" dxfId="24">
      <formula>AND(ISNUMBER(J20),J20&lt;0.9)</formula>
    </cfRule>
    <cfRule type="expression" priority="411" aboveAverage="0" equalAverage="0" bottom="0" percent="0" rank="0" text="" dxfId="25">
      <formula>AND(ISNUMBER(J20),J20&gt;=0.9,J20&lt;0.95)</formula>
    </cfRule>
  </conditionalFormatting>
  <conditionalFormatting sqref="K20">
    <cfRule type="expression" priority="412" aboveAverage="0" equalAverage="0" bottom="0" percent="0" rank="0" text="" dxfId="23">
      <formula>AND(ISNUMBER(K20),K20&gt;=0.95)</formula>
    </cfRule>
    <cfRule type="expression" priority="413" aboveAverage="0" equalAverage="0" bottom="0" percent="0" rank="0" text="" dxfId="24">
      <formula>AND(ISNUMBER(K20),K20&lt;0.9)</formula>
    </cfRule>
    <cfRule type="expression" priority="414" aboveAverage="0" equalAverage="0" bottom="0" percent="0" rank="0" text="" dxfId="25">
      <formula>AND(ISNUMBER(K20),K20&gt;=0.9,K20&lt;0.95)</formula>
    </cfRule>
  </conditionalFormatting>
  <conditionalFormatting sqref="L20">
    <cfRule type="expression" priority="415" aboveAverage="0" equalAverage="0" bottom="0" percent="0" rank="0" text="" dxfId="23">
      <formula>AND(ISNUMBER(L20),L20&gt;=0.95)</formula>
    </cfRule>
    <cfRule type="expression" priority="416" aboveAverage="0" equalAverage="0" bottom="0" percent="0" rank="0" text="" dxfId="24">
      <formula>AND(ISNUMBER(L20),L20&lt;0.9)</formula>
    </cfRule>
    <cfRule type="expression" priority="417" aboveAverage="0" equalAverage="0" bottom="0" percent="0" rank="0" text="" dxfId="25">
      <formula>AND(ISNUMBER(L20),L20&gt;=0.9,L20&lt;0.95)</formula>
    </cfRule>
  </conditionalFormatting>
  <conditionalFormatting sqref="M20">
    <cfRule type="expression" priority="418" aboveAverage="0" equalAverage="0" bottom="0" percent="0" rank="0" text="" dxfId="23">
      <formula>AND(ISNUMBER(M20),M20&gt;=0.95)</formula>
    </cfRule>
    <cfRule type="expression" priority="419" aboveAverage="0" equalAverage="0" bottom="0" percent="0" rank="0" text="" dxfId="24">
      <formula>AND(ISNUMBER(M20),M20&lt;0.9)</formula>
    </cfRule>
    <cfRule type="expression" priority="420" aboveAverage="0" equalAverage="0" bottom="0" percent="0" rank="0" text="" dxfId="25">
      <formula>AND(ISNUMBER(M20),M20&gt;=0.9,M20&lt;0.95)</formula>
    </cfRule>
  </conditionalFormatting>
  <conditionalFormatting sqref="N20">
    <cfRule type="expression" priority="421" aboveAverage="0" equalAverage="0" bottom="0" percent="0" rank="0" text="" dxfId="23">
      <formula>AND(ISNUMBER(N20),N20&gt;=0.95)</formula>
    </cfRule>
    <cfRule type="expression" priority="422" aboveAverage="0" equalAverage="0" bottom="0" percent="0" rank="0" text="" dxfId="24">
      <formula>AND(ISNUMBER(N20),N20&lt;0.9)</formula>
    </cfRule>
    <cfRule type="expression" priority="423" aboveAverage="0" equalAverage="0" bottom="0" percent="0" rank="0" text="" dxfId="25">
      <formula>AND(ISNUMBER(N20),N20&gt;=0.9,N20&lt;0.95)</formula>
    </cfRule>
  </conditionalFormatting>
  <conditionalFormatting sqref="O20">
    <cfRule type="expression" priority="424" aboveAverage="0" equalAverage="0" bottom="0" percent="0" rank="0" text="" dxfId="23">
      <formula>AND(ISNUMBER(O20),O20&gt;=0.95)</formula>
    </cfRule>
    <cfRule type="expression" priority="425" aboveAverage="0" equalAverage="0" bottom="0" percent="0" rank="0" text="" dxfId="24">
      <formula>AND(ISNUMBER(O20),O20&lt;0.9)</formula>
    </cfRule>
    <cfRule type="expression" priority="426" aboveAverage="0" equalAverage="0" bottom="0" percent="0" rank="0" text="" dxfId="25">
      <formula>AND(ISNUMBER(O20),O20&gt;=0.9,O20&lt;0.95)</formula>
    </cfRule>
  </conditionalFormatting>
  <conditionalFormatting sqref="P20">
    <cfRule type="expression" priority="427" aboveAverage="0" equalAverage="0" bottom="0" percent="0" rank="0" text="" dxfId="23">
      <formula>AND(ISNUMBER(P20),P20&gt;=0.95)</formula>
    </cfRule>
    <cfRule type="expression" priority="428" aboveAverage="0" equalAverage="0" bottom="0" percent="0" rank="0" text="" dxfId="24">
      <formula>AND(ISNUMBER(P20),P20&lt;0.9)</formula>
    </cfRule>
    <cfRule type="expression" priority="429" aboveAverage="0" equalAverage="0" bottom="0" percent="0" rank="0" text="" dxfId="25">
      <formula>AND(ISNUMBER(P20),P20&gt;=0.9,P20&lt;0.95)</formula>
    </cfRule>
  </conditionalFormatting>
  <conditionalFormatting sqref="Q20">
    <cfRule type="expression" priority="430" aboveAverage="0" equalAverage="0" bottom="0" percent="0" rank="0" text="" dxfId="23">
      <formula>AND(ISNUMBER(Q20),Q20&gt;=0.95)</formula>
    </cfRule>
    <cfRule type="expression" priority="431" aboveAverage="0" equalAverage="0" bottom="0" percent="0" rank="0" text="" dxfId="24">
      <formula>AND(ISNUMBER(Q20),Q20&lt;0.9)</formula>
    </cfRule>
    <cfRule type="expression" priority="432" aboveAverage="0" equalAverage="0" bottom="0" percent="0" rank="0" text="" dxfId="25">
      <formula>AND(ISNUMBER(Q20),Q20&gt;=0.9,Q20&lt;0.95)</formula>
    </cfRule>
  </conditionalFormatting>
  <conditionalFormatting sqref="R20">
    <cfRule type="expression" priority="433" aboveAverage="0" equalAverage="0" bottom="0" percent="0" rank="0" text="" dxfId="23">
      <formula>AND(ISNUMBER(R20),R20&gt;=0.95)</formula>
    </cfRule>
    <cfRule type="expression" priority="434" aboveAverage="0" equalAverage="0" bottom="0" percent="0" rank="0" text="" dxfId="24">
      <formula>AND(ISNUMBER(R20),R20&lt;0.9)</formula>
    </cfRule>
    <cfRule type="expression" priority="435" aboveAverage="0" equalAverage="0" bottom="0" percent="0" rank="0" text="" dxfId="25">
      <formula>AND(ISNUMBER(R20),R20&gt;=0.9,R20&lt;0.95)</formula>
    </cfRule>
  </conditionalFormatting>
  <conditionalFormatting sqref="S20">
    <cfRule type="expression" priority="436" aboveAverage="0" equalAverage="0" bottom="0" percent="0" rank="0" text="" dxfId="23">
      <formula>AND(ISNUMBER(S20),S20&gt;=0.95)</formula>
    </cfRule>
    <cfRule type="expression" priority="437" aboveAverage="0" equalAverage="0" bottom="0" percent="0" rank="0" text="" dxfId="24">
      <formula>AND(ISNUMBER(S20),S20&lt;0.9)</formula>
    </cfRule>
    <cfRule type="expression" priority="438" aboveAverage="0" equalAverage="0" bottom="0" percent="0" rank="0" text="" dxfId="25">
      <formula>AND(ISNUMBER(S20),S20&gt;=0.9,S20&lt;0.95)</formula>
    </cfRule>
  </conditionalFormatting>
  <conditionalFormatting sqref="H21">
    <cfRule type="expression" priority="439" aboveAverage="0" equalAverage="0" bottom="0" percent="0" rank="0" text="" dxfId="23">
      <formula>AND(ISNUMBER(H21),H21&gt;=0.95)</formula>
    </cfRule>
    <cfRule type="expression" priority="440" aboveAverage="0" equalAverage="0" bottom="0" percent="0" rank="0" text="" dxfId="24">
      <formula>AND(ISNUMBER(H21),H21&lt;0.9)</formula>
    </cfRule>
    <cfRule type="expression" priority="441" aboveAverage="0" equalAverage="0" bottom="0" percent="0" rank="0" text="" dxfId="25">
      <formula>AND(ISNUMBER(H21),H21&gt;=0.9,H21&lt;0.95)</formula>
    </cfRule>
  </conditionalFormatting>
  <conditionalFormatting sqref="I21">
    <cfRule type="expression" priority="442" aboveAverage="0" equalAverage="0" bottom="0" percent="0" rank="0" text="" dxfId="23">
      <formula>AND(ISNUMBER(I21),I21&gt;=0.95)</formula>
    </cfRule>
    <cfRule type="expression" priority="443" aboveAverage="0" equalAverage="0" bottom="0" percent="0" rank="0" text="" dxfId="24">
      <formula>AND(ISNUMBER(I21),I21&lt;0.9)</formula>
    </cfRule>
    <cfRule type="expression" priority="444" aboveAverage="0" equalAverage="0" bottom="0" percent="0" rank="0" text="" dxfId="25">
      <formula>AND(ISNUMBER(I21),I21&gt;=0.9,I21&lt;0.95)</formula>
    </cfRule>
  </conditionalFormatting>
  <conditionalFormatting sqref="J21">
    <cfRule type="expression" priority="445" aboveAverage="0" equalAverage="0" bottom="0" percent="0" rank="0" text="" dxfId="23">
      <formula>AND(ISNUMBER(J21),J21&gt;=0.95)</formula>
    </cfRule>
    <cfRule type="expression" priority="446" aboveAverage="0" equalAverage="0" bottom="0" percent="0" rank="0" text="" dxfId="24">
      <formula>AND(ISNUMBER(J21),J21&lt;0.9)</formula>
    </cfRule>
    <cfRule type="expression" priority="447" aboveAverage="0" equalAverage="0" bottom="0" percent="0" rank="0" text="" dxfId="25">
      <formula>AND(ISNUMBER(J21),J21&gt;=0.9,J21&lt;0.95)</formula>
    </cfRule>
  </conditionalFormatting>
  <conditionalFormatting sqref="K21">
    <cfRule type="expression" priority="448" aboveAverage="0" equalAverage="0" bottom="0" percent="0" rank="0" text="" dxfId="23">
      <formula>AND(ISNUMBER(K21),K21&gt;=0.95)</formula>
    </cfRule>
    <cfRule type="expression" priority="449" aboveAverage="0" equalAverage="0" bottom="0" percent="0" rank="0" text="" dxfId="24">
      <formula>AND(ISNUMBER(K21),K21&lt;0.9)</formula>
    </cfRule>
    <cfRule type="expression" priority="450" aboveAverage="0" equalAverage="0" bottom="0" percent="0" rank="0" text="" dxfId="25">
      <formula>AND(ISNUMBER(K21),K21&gt;=0.9,K21&lt;0.95)</formula>
    </cfRule>
  </conditionalFormatting>
  <conditionalFormatting sqref="L21">
    <cfRule type="expression" priority="451" aboveAverage="0" equalAverage="0" bottom="0" percent="0" rank="0" text="" dxfId="23">
      <formula>AND(ISNUMBER(L21),L21&gt;=0.95)</formula>
    </cfRule>
    <cfRule type="expression" priority="452" aboveAverage="0" equalAverage="0" bottom="0" percent="0" rank="0" text="" dxfId="24">
      <formula>AND(ISNUMBER(L21),L21&lt;0.9)</formula>
    </cfRule>
    <cfRule type="expression" priority="453" aboveAverage="0" equalAverage="0" bottom="0" percent="0" rank="0" text="" dxfId="25">
      <formula>AND(ISNUMBER(L21),L21&gt;=0.9,L21&lt;0.95)</formula>
    </cfRule>
  </conditionalFormatting>
  <conditionalFormatting sqref="M21">
    <cfRule type="expression" priority="454" aboveAverage="0" equalAverage="0" bottom="0" percent="0" rank="0" text="" dxfId="23">
      <formula>AND(ISNUMBER(M21),M21&gt;=0.95)</formula>
    </cfRule>
    <cfRule type="expression" priority="455" aboveAverage="0" equalAverage="0" bottom="0" percent="0" rank="0" text="" dxfId="24">
      <formula>AND(ISNUMBER(M21),M21&lt;0.9)</formula>
    </cfRule>
    <cfRule type="expression" priority="456" aboveAverage="0" equalAverage="0" bottom="0" percent="0" rank="0" text="" dxfId="25">
      <formula>AND(ISNUMBER(M21),M21&gt;=0.9,M21&lt;0.95)</formula>
    </cfRule>
  </conditionalFormatting>
  <conditionalFormatting sqref="N21">
    <cfRule type="expression" priority="457" aboveAverage="0" equalAverage="0" bottom="0" percent="0" rank="0" text="" dxfId="23">
      <formula>AND(ISNUMBER(N21),N21&gt;=0.95)</formula>
    </cfRule>
    <cfRule type="expression" priority="458" aboveAverage="0" equalAverage="0" bottom="0" percent="0" rank="0" text="" dxfId="24">
      <formula>AND(ISNUMBER(N21),N21&lt;0.9)</formula>
    </cfRule>
    <cfRule type="expression" priority="459" aboveAverage="0" equalAverage="0" bottom="0" percent="0" rank="0" text="" dxfId="25">
      <formula>AND(ISNUMBER(N21),N21&gt;=0.9,N21&lt;0.95)</formula>
    </cfRule>
  </conditionalFormatting>
  <conditionalFormatting sqref="O21">
    <cfRule type="expression" priority="460" aboveAverage="0" equalAverage="0" bottom="0" percent="0" rank="0" text="" dxfId="23">
      <formula>AND(ISNUMBER(O21),O21&gt;=0.95)</formula>
    </cfRule>
    <cfRule type="expression" priority="461" aboveAverage="0" equalAverage="0" bottom="0" percent="0" rank="0" text="" dxfId="24">
      <formula>AND(ISNUMBER(O21),O21&lt;0.9)</formula>
    </cfRule>
    <cfRule type="expression" priority="462" aboveAverage="0" equalAverage="0" bottom="0" percent="0" rank="0" text="" dxfId="25">
      <formula>AND(ISNUMBER(O21),O21&gt;=0.9,O21&lt;0.95)</formula>
    </cfRule>
  </conditionalFormatting>
  <conditionalFormatting sqref="P21">
    <cfRule type="expression" priority="463" aboveAverage="0" equalAverage="0" bottom="0" percent="0" rank="0" text="" dxfId="23">
      <formula>AND(ISNUMBER(P21),P21&gt;=0.95)</formula>
    </cfRule>
    <cfRule type="expression" priority="464" aboveAverage="0" equalAverage="0" bottom="0" percent="0" rank="0" text="" dxfId="24">
      <formula>AND(ISNUMBER(P21),P21&lt;0.9)</formula>
    </cfRule>
    <cfRule type="expression" priority="465" aboveAverage="0" equalAverage="0" bottom="0" percent="0" rank="0" text="" dxfId="25">
      <formula>AND(ISNUMBER(P21),P21&gt;=0.9,P21&lt;0.95)</formula>
    </cfRule>
  </conditionalFormatting>
  <conditionalFormatting sqref="Q21">
    <cfRule type="expression" priority="466" aboveAverage="0" equalAverage="0" bottom="0" percent="0" rank="0" text="" dxfId="23">
      <formula>AND(ISNUMBER(Q21),Q21&gt;=0.95)</formula>
    </cfRule>
    <cfRule type="expression" priority="467" aboveAverage="0" equalAverage="0" bottom="0" percent="0" rank="0" text="" dxfId="24">
      <formula>AND(ISNUMBER(Q21),Q21&lt;0.9)</formula>
    </cfRule>
    <cfRule type="expression" priority="468" aboveAverage="0" equalAverage="0" bottom="0" percent="0" rank="0" text="" dxfId="25">
      <formula>AND(ISNUMBER(Q21),Q21&gt;=0.9,Q21&lt;0.95)</formula>
    </cfRule>
  </conditionalFormatting>
  <conditionalFormatting sqref="R21">
    <cfRule type="expression" priority="469" aboveAverage="0" equalAverage="0" bottom="0" percent="0" rank="0" text="" dxfId="23">
      <formula>AND(ISNUMBER(R21),R21&gt;=0.95)</formula>
    </cfRule>
    <cfRule type="expression" priority="470" aboveAverage="0" equalAverage="0" bottom="0" percent="0" rank="0" text="" dxfId="24">
      <formula>AND(ISNUMBER(R21),R21&lt;0.9)</formula>
    </cfRule>
    <cfRule type="expression" priority="471" aboveAverage="0" equalAverage="0" bottom="0" percent="0" rank="0" text="" dxfId="25">
      <formula>AND(ISNUMBER(R21),R21&gt;=0.9,R21&lt;0.95)</formula>
    </cfRule>
  </conditionalFormatting>
  <conditionalFormatting sqref="S21">
    <cfRule type="expression" priority="472" aboveAverage="0" equalAverage="0" bottom="0" percent="0" rank="0" text="" dxfId="23">
      <formula>AND(ISNUMBER(S21),S21&gt;=0.95)</formula>
    </cfRule>
    <cfRule type="expression" priority="473" aboveAverage="0" equalAverage="0" bottom="0" percent="0" rank="0" text="" dxfId="24">
      <formula>AND(ISNUMBER(S21),S21&lt;0.9)</formula>
    </cfRule>
    <cfRule type="expression" priority="474" aboveAverage="0" equalAverage="0" bottom="0" percent="0" rank="0" text="" dxfId="25">
      <formula>AND(ISNUMBER(S21),S21&gt;=0.9,S21&lt;0.95)</formula>
    </cfRule>
  </conditionalFormatting>
  <conditionalFormatting sqref="H22">
    <cfRule type="expression" priority="475" aboveAverage="0" equalAverage="0" bottom="0" percent="0" rank="0" text="" dxfId="23">
      <formula>AND(ISNUMBER(H22),H22&gt;=1)</formula>
    </cfRule>
    <cfRule type="expression" priority="476" aboveAverage="0" equalAverage="0" bottom="0" percent="0" rank="0" text="" dxfId="24">
      <formula>AND(ISNUMBER(H22),H22&lt;0.99)</formula>
    </cfRule>
    <cfRule type="expression" priority="477" aboveAverage="0" equalAverage="0" bottom="0" percent="0" rank="0" text="" dxfId="25">
      <formula>AND(ISNUMBER(H22),H22&gt;=0.99,H22&lt;1)</formula>
    </cfRule>
  </conditionalFormatting>
  <conditionalFormatting sqref="I22">
    <cfRule type="expression" priority="478" aboveAverage="0" equalAverage="0" bottom="0" percent="0" rank="0" text="" dxfId="23">
      <formula>AND(ISNUMBER(I22),I22&gt;=1)</formula>
    </cfRule>
    <cfRule type="expression" priority="479" aboveAverage="0" equalAverage="0" bottom="0" percent="0" rank="0" text="" dxfId="24">
      <formula>AND(ISNUMBER(I22),I22&lt;0.99)</formula>
    </cfRule>
    <cfRule type="expression" priority="480" aboveAverage="0" equalAverage="0" bottom="0" percent="0" rank="0" text="" dxfId="25">
      <formula>AND(ISNUMBER(I22),I22&gt;=0.99,I22&lt;1)</formula>
    </cfRule>
  </conditionalFormatting>
  <conditionalFormatting sqref="J22">
    <cfRule type="expression" priority="481" aboveAverage="0" equalAverage="0" bottom="0" percent="0" rank="0" text="" dxfId="23">
      <formula>AND(ISNUMBER(J22),J22&gt;=1)</formula>
    </cfRule>
    <cfRule type="expression" priority="482" aboveAverage="0" equalAverage="0" bottom="0" percent="0" rank="0" text="" dxfId="24">
      <formula>AND(ISNUMBER(J22),J22&lt;0.99)</formula>
    </cfRule>
    <cfRule type="expression" priority="483" aboveAverage="0" equalAverage="0" bottom="0" percent="0" rank="0" text="" dxfId="25">
      <formula>AND(ISNUMBER(J22),J22&gt;=0.99,J22&lt;1)</formula>
    </cfRule>
  </conditionalFormatting>
  <conditionalFormatting sqref="K22">
    <cfRule type="expression" priority="484" aboveAverage="0" equalAverage="0" bottom="0" percent="0" rank="0" text="" dxfId="23">
      <formula>AND(ISNUMBER(K22),K22&gt;=1)</formula>
    </cfRule>
    <cfRule type="expression" priority="485" aboveAverage="0" equalAverage="0" bottom="0" percent="0" rank="0" text="" dxfId="24">
      <formula>AND(ISNUMBER(K22),K22&lt;0.99)</formula>
    </cfRule>
    <cfRule type="expression" priority="486" aboveAverage="0" equalAverage="0" bottom="0" percent="0" rank="0" text="" dxfId="25">
      <formula>AND(ISNUMBER(K22),K22&gt;=0.99,K22&lt;1)</formula>
    </cfRule>
  </conditionalFormatting>
  <conditionalFormatting sqref="L22">
    <cfRule type="expression" priority="487" aboveAverage="0" equalAverage="0" bottom="0" percent="0" rank="0" text="" dxfId="23">
      <formula>AND(ISNUMBER(L22),L22&gt;=1)</formula>
    </cfRule>
    <cfRule type="expression" priority="488" aboveAverage="0" equalAverage="0" bottom="0" percent="0" rank="0" text="" dxfId="24">
      <formula>AND(ISNUMBER(L22),L22&lt;0.99)</formula>
    </cfRule>
    <cfRule type="expression" priority="489" aboveAverage="0" equalAverage="0" bottom="0" percent="0" rank="0" text="" dxfId="25">
      <formula>AND(ISNUMBER(L22),L22&gt;=0.99,L22&lt;1)</formula>
    </cfRule>
  </conditionalFormatting>
  <conditionalFormatting sqref="M22">
    <cfRule type="expression" priority="490" aboveAverage="0" equalAverage="0" bottom="0" percent="0" rank="0" text="" dxfId="23">
      <formula>AND(ISNUMBER(M22),M22&gt;=1)</formula>
    </cfRule>
    <cfRule type="expression" priority="491" aboveAverage="0" equalAverage="0" bottom="0" percent="0" rank="0" text="" dxfId="24">
      <formula>AND(ISNUMBER(M22),M22&lt;0.99)</formula>
    </cfRule>
    <cfRule type="expression" priority="492" aboveAverage="0" equalAverage="0" bottom="0" percent="0" rank="0" text="" dxfId="25">
      <formula>AND(ISNUMBER(M22),M22&gt;=0.99,M22&lt;1)</formula>
    </cfRule>
  </conditionalFormatting>
  <conditionalFormatting sqref="N22">
    <cfRule type="expression" priority="493" aboveAverage="0" equalAverage="0" bottom="0" percent="0" rank="0" text="" dxfId="23">
      <formula>AND(ISNUMBER(N22),N22&gt;=1)</formula>
    </cfRule>
    <cfRule type="expression" priority="494" aboveAverage="0" equalAverage="0" bottom="0" percent="0" rank="0" text="" dxfId="24">
      <formula>AND(ISNUMBER(N22),N22&lt;0.99)</formula>
    </cfRule>
    <cfRule type="expression" priority="495" aboveAverage="0" equalAverage="0" bottom="0" percent="0" rank="0" text="" dxfId="25">
      <formula>AND(ISNUMBER(N22),N22&gt;=0.99,N22&lt;1)</formula>
    </cfRule>
  </conditionalFormatting>
  <conditionalFormatting sqref="O22">
    <cfRule type="expression" priority="496" aboveAverage="0" equalAverage="0" bottom="0" percent="0" rank="0" text="" dxfId="23">
      <formula>AND(ISNUMBER(O22),O22&gt;=1)</formula>
    </cfRule>
    <cfRule type="expression" priority="497" aboveAverage="0" equalAverage="0" bottom="0" percent="0" rank="0" text="" dxfId="24">
      <formula>AND(ISNUMBER(O22),O22&lt;0.99)</formula>
    </cfRule>
    <cfRule type="expression" priority="498" aboveAverage="0" equalAverage="0" bottom="0" percent="0" rank="0" text="" dxfId="25">
      <formula>AND(ISNUMBER(O22),O22&gt;=0.99,O22&lt;1)</formula>
    </cfRule>
  </conditionalFormatting>
  <conditionalFormatting sqref="P22">
    <cfRule type="expression" priority="499" aboveAverage="0" equalAverage="0" bottom="0" percent="0" rank="0" text="" dxfId="23">
      <formula>AND(ISNUMBER(P22),P22&gt;=1)</formula>
    </cfRule>
    <cfRule type="expression" priority="500" aboveAverage="0" equalAverage="0" bottom="0" percent="0" rank="0" text="" dxfId="24">
      <formula>AND(ISNUMBER(P22),P22&lt;0.99)</formula>
    </cfRule>
    <cfRule type="expression" priority="501" aboveAverage="0" equalAverage="0" bottom="0" percent="0" rank="0" text="" dxfId="25">
      <formula>AND(ISNUMBER(P22),P22&gt;=0.99,P22&lt;1)</formula>
    </cfRule>
  </conditionalFormatting>
  <conditionalFormatting sqref="Q22">
    <cfRule type="expression" priority="502" aboveAverage="0" equalAverage="0" bottom="0" percent="0" rank="0" text="" dxfId="23">
      <formula>AND(ISNUMBER(Q22),Q22&gt;=1)</formula>
    </cfRule>
    <cfRule type="expression" priority="503" aboveAverage="0" equalAverage="0" bottom="0" percent="0" rank="0" text="" dxfId="24">
      <formula>AND(ISNUMBER(Q22),Q22&lt;0.99)</formula>
    </cfRule>
    <cfRule type="expression" priority="504" aboveAverage="0" equalAverage="0" bottom="0" percent="0" rank="0" text="" dxfId="25">
      <formula>AND(ISNUMBER(Q22),Q22&gt;=0.99,Q22&lt;1)</formula>
    </cfRule>
  </conditionalFormatting>
  <conditionalFormatting sqref="R22">
    <cfRule type="expression" priority="505" aboveAverage="0" equalAverage="0" bottom="0" percent="0" rank="0" text="" dxfId="23">
      <formula>AND(ISNUMBER(R22),R22&gt;=1)</formula>
    </cfRule>
    <cfRule type="expression" priority="506" aboveAverage="0" equalAverage="0" bottom="0" percent="0" rank="0" text="" dxfId="24">
      <formula>AND(ISNUMBER(R22),R22&lt;0.99)</formula>
    </cfRule>
    <cfRule type="expression" priority="507" aboveAverage="0" equalAverage="0" bottom="0" percent="0" rank="0" text="" dxfId="25">
      <formula>AND(ISNUMBER(R22),R22&gt;=0.99,R22&lt;1)</formula>
    </cfRule>
  </conditionalFormatting>
  <conditionalFormatting sqref="S22">
    <cfRule type="expression" priority="508" aboveAverage="0" equalAverage="0" bottom="0" percent="0" rank="0" text="" dxfId="23">
      <formula>AND(ISNUMBER(S22),S22&gt;=1)</formula>
    </cfRule>
    <cfRule type="expression" priority="509" aboveAverage="0" equalAverage="0" bottom="0" percent="0" rank="0" text="" dxfId="24">
      <formula>AND(ISNUMBER(S22),S22&lt;0.99)</formula>
    </cfRule>
    <cfRule type="expression" priority="510" aboveAverage="0" equalAverage="0" bottom="0" percent="0" rank="0" text="" dxfId="25">
      <formula>AND(ISNUMBER(S22),S22&gt;=0.99,S22&lt;1)</formula>
    </cfRule>
  </conditionalFormatting>
  <conditionalFormatting sqref="H24">
    <cfRule type="expression" priority="511" aboveAverage="0" equalAverage="0" bottom="0" percent="0" rank="0" text="" dxfId="23">
      <formula>AND(ISNUMBER(H24),H24&gt;=1)</formula>
    </cfRule>
    <cfRule type="expression" priority="512" aboveAverage="0" equalAverage="0" bottom="0" percent="0" rank="0" text="" dxfId="24">
      <formula>AND(ISNUMBER(H24),H24&lt;0.999)</formula>
    </cfRule>
    <cfRule type="expression" priority="513" aboveAverage="0" equalAverage="0" bottom="0" percent="0" rank="0" text="" dxfId="25">
      <formula>AND(ISNUMBER(H24),H24&gt;=0.999,H24&lt;1)</formula>
    </cfRule>
  </conditionalFormatting>
  <conditionalFormatting sqref="I24">
    <cfRule type="expression" priority="514" aboveAverage="0" equalAverage="0" bottom="0" percent="0" rank="0" text="" dxfId="23">
      <formula>AND(ISNUMBER(I24),I24&gt;=1)</formula>
    </cfRule>
    <cfRule type="expression" priority="515" aboveAverage="0" equalAverage="0" bottom="0" percent="0" rank="0" text="" dxfId="24">
      <formula>AND(ISNUMBER(I24),I24&lt;0.999)</formula>
    </cfRule>
    <cfRule type="expression" priority="516" aboveAverage="0" equalAverage="0" bottom="0" percent="0" rank="0" text="" dxfId="25">
      <formula>AND(ISNUMBER(I24),I24&gt;=0.999,I24&lt;1)</formula>
    </cfRule>
  </conditionalFormatting>
  <conditionalFormatting sqref="J24">
    <cfRule type="expression" priority="517" aboveAverage="0" equalAverage="0" bottom="0" percent="0" rank="0" text="" dxfId="23">
      <formula>AND(ISNUMBER(J24),J24&gt;=1)</formula>
    </cfRule>
    <cfRule type="expression" priority="518" aboveAverage="0" equalAverage="0" bottom="0" percent="0" rank="0" text="" dxfId="24">
      <formula>AND(ISNUMBER(J24),J24&lt;0.999)</formula>
    </cfRule>
    <cfRule type="expression" priority="519" aboveAverage="0" equalAverage="0" bottom="0" percent="0" rank="0" text="" dxfId="25">
      <formula>AND(ISNUMBER(J24),J24&gt;=0.999,J24&lt;1)</formula>
    </cfRule>
  </conditionalFormatting>
  <conditionalFormatting sqref="K24">
    <cfRule type="expression" priority="520" aboveAverage="0" equalAverage="0" bottom="0" percent="0" rank="0" text="" dxfId="23">
      <formula>AND(ISNUMBER(K24),K24&gt;=1)</formula>
    </cfRule>
    <cfRule type="expression" priority="521" aboveAverage="0" equalAverage="0" bottom="0" percent="0" rank="0" text="" dxfId="24">
      <formula>AND(ISNUMBER(K24),K24&lt;0.999)</formula>
    </cfRule>
    <cfRule type="expression" priority="522" aboveAverage="0" equalAverage="0" bottom="0" percent="0" rank="0" text="" dxfId="25">
      <formula>AND(ISNUMBER(K24),K24&gt;=0.999,K24&lt;1)</formula>
    </cfRule>
  </conditionalFormatting>
  <conditionalFormatting sqref="L24">
    <cfRule type="expression" priority="523" aboveAverage="0" equalAverage="0" bottom="0" percent="0" rank="0" text="" dxfId="23">
      <formula>AND(ISNUMBER(L24),L24&gt;=1)</formula>
    </cfRule>
    <cfRule type="expression" priority="524" aboveAverage="0" equalAverage="0" bottom="0" percent="0" rank="0" text="" dxfId="24">
      <formula>AND(ISNUMBER(L24),L24&lt;0.999)</formula>
    </cfRule>
    <cfRule type="expression" priority="525" aboveAverage="0" equalAverage="0" bottom="0" percent="0" rank="0" text="" dxfId="25">
      <formula>AND(ISNUMBER(L24),L24&gt;=0.999,L24&lt;1)</formula>
    </cfRule>
  </conditionalFormatting>
  <conditionalFormatting sqref="M24">
    <cfRule type="expression" priority="526" aboveAverage="0" equalAverage="0" bottom="0" percent="0" rank="0" text="" dxfId="23">
      <formula>AND(ISNUMBER(M24),M24&gt;=1)</formula>
    </cfRule>
    <cfRule type="expression" priority="527" aboveAverage="0" equalAverage="0" bottom="0" percent="0" rank="0" text="" dxfId="24">
      <formula>AND(ISNUMBER(M24),M24&lt;0.999)</formula>
    </cfRule>
    <cfRule type="expression" priority="528" aboveAverage="0" equalAverage="0" bottom="0" percent="0" rank="0" text="" dxfId="25">
      <formula>AND(ISNUMBER(M24),M24&gt;=0.999,M24&lt;1)</formula>
    </cfRule>
  </conditionalFormatting>
  <conditionalFormatting sqref="N24">
    <cfRule type="expression" priority="529" aboveAverage="0" equalAverage="0" bottom="0" percent="0" rank="0" text="" dxfId="23">
      <formula>AND(ISNUMBER(N24),N24&gt;=1)</formula>
    </cfRule>
    <cfRule type="expression" priority="530" aboveAverage="0" equalAverage="0" bottom="0" percent="0" rank="0" text="" dxfId="24">
      <formula>AND(ISNUMBER(N24),N24&lt;0.999)</formula>
    </cfRule>
    <cfRule type="expression" priority="531" aboveAverage="0" equalAverage="0" bottom="0" percent="0" rank="0" text="" dxfId="25">
      <formula>AND(ISNUMBER(N24),N24&gt;=0.999,N24&lt;1)</formula>
    </cfRule>
  </conditionalFormatting>
  <conditionalFormatting sqref="O24">
    <cfRule type="expression" priority="532" aboveAverage="0" equalAverage="0" bottom="0" percent="0" rank="0" text="" dxfId="23">
      <formula>AND(ISNUMBER(O24),O24&gt;=1)</formula>
    </cfRule>
    <cfRule type="expression" priority="533" aboveAverage="0" equalAverage="0" bottom="0" percent="0" rank="0" text="" dxfId="24">
      <formula>AND(ISNUMBER(O24),O24&lt;0.999)</formula>
    </cfRule>
    <cfRule type="expression" priority="534" aboveAverage="0" equalAverage="0" bottom="0" percent="0" rank="0" text="" dxfId="25">
      <formula>AND(ISNUMBER(O24),O24&gt;=0.999,O24&lt;1)</formula>
    </cfRule>
  </conditionalFormatting>
  <conditionalFormatting sqref="P24">
    <cfRule type="expression" priority="535" aboveAverage="0" equalAverage="0" bottom="0" percent="0" rank="0" text="" dxfId="23">
      <formula>AND(ISNUMBER(P24),P24&gt;=1)</formula>
    </cfRule>
    <cfRule type="expression" priority="536" aboveAverage="0" equalAverage="0" bottom="0" percent="0" rank="0" text="" dxfId="24">
      <formula>AND(ISNUMBER(P24),P24&lt;0.999)</formula>
    </cfRule>
    <cfRule type="expression" priority="537" aboveAverage="0" equalAverage="0" bottom="0" percent="0" rank="0" text="" dxfId="25">
      <formula>AND(ISNUMBER(P24),P24&gt;=0.999,P24&lt;1)</formula>
    </cfRule>
  </conditionalFormatting>
  <conditionalFormatting sqref="Q24">
    <cfRule type="expression" priority="538" aboveAverage="0" equalAverage="0" bottom="0" percent="0" rank="0" text="" dxfId="23">
      <formula>AND(ISNUMBER(Q24),Q24&gt;=1)</formula>
    </cfRule>
    <cfRule type="expression" priority="539" aboveAverage="0" equalAverage="0" bottom="0" percent="0" rank="0" text="" dxfId="24">
      <formula>AND(ISNUMBER(Q24),Q24&lt;0.999)</formula>
    </cfRule>
    <cfRule type="expression" priority="540" aboveAverage="0" equalAverage="0" bottom="0" percent="0" rank="0" text="" dxfId="25">
      <formula>AND(ISNUMBER(Q24),Q24&gt;=0.999,Q24&lt;1)</formula>
    </cfRule>
  </conditionalFormatting>
  <conditionalFormatting sqref="R24">
    <cfRule type="expression" priority="541" aboveAverage="0" equalAverage="0" bottom="0" percent="0" rank="0" text="" dxfId="23">
      <formula>AND(ISNUMBER(R24),R24&gt;=1)</formula>
    </cfRule>
    <cfRule type="expression" priority="542" aboveAverage="0" equalAverage="0" bottom="0" percent="0" rank="0" text="" dxfId="24">
      <formula>AND(ISNUMBER(R24),R24&lt;0.999)</formula>
    </cfRule>
    <cfRule type="expression" priority="543" aboveAverage="0" equalAverage="0" bottom="0" percent="0" rank="0" text="" dxfId="25">
      <formula>AND(ISNUMBER(R24),R24&gt;=0.999,R24&lt;1)</formula>
    </cfRule>
  </conditionalFormatting>
  <conditionalFormatting sqref="S24">
    <cfRule type="expression" priority="544" aboveAverage="0" equalAverage="0" bottom="0" percent="0" rank="0" text="" dxfId="23">
      <formula>AND(ISNUMBER(S24),S24&gt;=1)</formula>
    </cfRule>
    <cfRule type="expression" priority="545" aboveAverage="0" equalAverage="0" bottom="0" percent="0" rank="0" text="" dxfId="24">
      <formula>AND(ISNUMBER(S24),S24&lt;0.999)</formula>
    </cfRule>
    <cfRule type="expression" priority="546" aboveAverage="0" equalAverage="0" bottom="0" percent="0" rank="0" text="" dxfId="25">
      <formula>AND(ISNUMBER(S24),S24&gt;=0.999,S24&lt;1)</formula>
    </cfRule>
  </conditionalFormatting>
  <conditionalFormatting sqref="H25">
    <cfRule type="expression" priority="547" aboveAverage="0" equalAverage="0" bottom="0" percent="0" rank="0" text="" dxfId="23">
      <formula>AND(ISNUMBER(H25),H25&gt;=0.95)</formula>
    </cfRule>
    <cfRule type="expression" priority="548" aboveAverage="0" equalAverage="0" bottom="0" percent="0" rank="0" text="" dxfId="24">
      <formula>AND(ISNUMBER(H25),H25&lt;0.85)</formula>
    </cfRule>
    <cfRule type="expression" priority="549" aboveAverage="0" equalAverage="0" bottom="0" percent="0" rank="0" text="" dxfId="25">
      <formula>AND(ISNUMBER(H25),H25&gt;=0.85,H25&lt;0.95)</formula>
    </cfRule>
  </conditionalFormatting>
  <conditionalFormatting sqref="I25">
    <cfRule type="expression" priority="550" aboveAverage="0" equalAverage="0" bottom="0" percent="0" rank="0" text="" dxfId="23">
      <formula>AND(ISNUMBER(I25),I25&gt;=0.95)</formula>
    </cfRule>
    <cfRule type="expression" priority="551" aboveAverage="0" equalAverage="0" bottom="0" percent="0" rank="0" text="" dxfId="24">
      <formula>AND(ISNUMBER(I25),I25&lt;0.85)</formula>
    </cfRule>
    <cfRule type="expression" priority="552" aboveAverage="0" equalAverage="0" bottom="0" percent="0" rank="0" text="" dxfId="25">
      <formula>AND(ISNUMBER(I25),I25&gt;=0.85,I25&lt;0.95)</formula>
    </cfRule>
  </conditionalFormatting>
  <conditionalFormatting sqref="J25">
    <cfRule type="expression" priority="553" aboveAverage="0" equalAverage="0" bottom="0" percent="0" rank="0" text="" dxfId="23">
      <formula>AND(ISNUMBER(J25),J25&gt;=0.95)</formula>
    </cfRule>
    <cfRule type="expression" priority="554" aboveAverage="0" equalAverage="0" bottom="0" percent="0" rank="0" text="" dxfId="24">
      <formula>AND(ISNUMBER(J25),J25&lt;0.85)</formula>
    </cfRule>
    <cfRule type="expression" priority="555" aboveAverage="0" equalAverage="0" bottom="0" percent="0" rank="0" text="" dxfId="25">
      <formula>AND(ISNUMBER(J25),J25&gt;=0.85,J25&lt;0.95)</formula>
    </cfRule>
  </conditionalFormatting>
  <conditionalFormatting sqref="K25">
    <cfRule type="expression" priority="556" aboveAverage="0" equalAverage="0" bottom="0" percent="0" rank="0" text="" dxfId="23">
      <formula>AND(ISNUMBER(K25),K25&gt;=0.95)</formula>
    </cfRule>
    <cfRule type="expression" priority="557" aboveAverage="0" equalAverage="0" bottom="0" percent="0" rank="0" text="" dxfId="24">
      <formula>AND(ISNUMBER(K25),K25&lt;0.85)</formula>
    </cfRule>
    <cfRule type="expression" priority="558" aboveAverage="0" equalAverage="0" bottom="0" percent="0" rank="0" text="" dxfId="25">
      <formula>AND(ISNUMBER(K25),K25&gt;=0.85,K25&lt;0.95)</formula>
    </cfRule>
  </conditionalFormatting>
  <conditionalFormatting sqref="L25">
    <cfRule type="expression" priority="559" aboveAverage="0" equalAverage="0" bottom="0" percent="0" rank="0" text="" dxfId="23">
      <formula>AND(ISNUMBER(L25),L25&gt;=0.95)</formula>
    </cfRule>
    <cfRule type="expression" priority="560" aboveAverage="0" equalAverage="0" bottom="0" percent="0" rank="0" text="" dxfId="24">
      <formula>AND(ISNUMBER(L25),L25&lt;0.85)</formula>
    </cfRule>
    <cfRule type="expression" priority="561" aboveAverage="0" equalAverage="0" bottom="0" percent="0" rank="0" text="" dxfId="25">
      <formula>AND(ISNUMBER(L25),L25&gt;=0.85,L25&lt;0.95)</formula>
    </cfRule>
  </conditionalFormatting>
  <conditionalFormatting sqref="M25">
    <cfRule type="expression" priority="562" aboveAverage="0" equalAverage="0" bottom="0" percent="0" rank="0" text="" dxfId="23">
      <formula>AND(ISNUMBER(M25),M25&gt;=0.95)</formula>
    </cfRule>
    <cfRule type="expression" priority="563" aboveAverage="0" equalAverage="0" bottom="0" percent="0" rank="0" text="" dxfId="24">
      <formula>AND(ISNUMBER(M25),M25&lt;0.85)</formula>
    </cfRule>
    <cfRule type="expression" priority="564" aboveAverage="0" equalAverage="0" bottom="0" percent="0" rank="0" text="" dxfId="25">
      <formula>AND(ISNUMBER(M25),M25&gt;=0.85,M25&lt;0.95)</formula>
    </cfRule>
  </conditionalFormatting>
  <conditionalFormatting sqref="N25">
    <cfRule type="expression" priority="565" aboveAverage="0" equalAverage="0" bottom="0" percent="0" rank="0" text="" dxfId="23">
      <formula>AND(ISNUMBER(N25),N25&gt;=0.95)</formula>
    </cfRule>
    <cfRule type="expression" priority="566" aboveAverage="0" equalAverage="0" bottom="0" percent="0" rank="0" text="" dxfId="24">
      <formula>AND(ISNUMBER(N25),N25&lt;0.85)</formula>
    </cfRule>
    <cfRule type="expression" priority="567" aboveAverage="0" equalAverage="0" bottom="0" percent="0" rank="0" text="" dxfId="25">
      <formula>AND(ISNUMBER(N25),N25&gt;=0.85,N25&lt;0.95)</formula>
    </cfRule>
  </conditionalFormatting>
  <conditionalFormatting sqref="O25">
    <cfRule type="expression" priority="568" aboveAverage="0" equalAverage="0" bottom="0" percent="0" rank="0" text="" dxfId="23">
      <formula>AND(ISNUMBER(O25),O25&gt;=0.95)</formula>
    </cfRule>
    <cfRule type="expression" priority="569" aboveAverage="0" equalAverage="0" bottom="0" percent="0" rank="0" text="" dxfId="24">
      <formula>AND(ISNUMBER(O25),O25&lt;0.85)</formula>
    </cfRule>
    <cfRule type="expression" priority="570" aboveAverage="0" equalAverage="0" bottom="0" percent="0" rank="0" text="" dxfId="25">
      <formula>AND(ISNUMBER(O25),O25&gt;=0.85,O25&lt;0.95)</formula>
    </cfRule>
  </conditionalFormatting>
  <conditionalFormatting sqref="P25">
    <cfRule type="expression" priority="571" aboveAverage="0" equalAverage="0" bottom="0" percent="0" rank="0" text="" dxfId="23">
      <formula>AND(ISNUMBER(P25),P25&gt;=0.95)</formula>
    </cfRule>
    <cfRule type="expression" priority="572" aboveAverage="0" equalAverage="0" bottom="0" percent="0" rank="0" text="" dxfId="24">
      <formula>AND(ISNUMBER(P25),P25&lt;0.85)</formula>
    </cfRule>
    <cfRule type="expression" priority="573" aboveAverage="0" equalAverage="0" bottom="0" percent="0" rank="0" text="" dxfId="25">
      <formula>AND(ISNUMBER(P25),P25&gt;=0.85,P25&lt;0.95)</formula>
    </cfRule>
  </conditionalFormatting>
  <conditionalFormatting sqref="Q25">
    <cfRule type="expression" priority="574" aboveAverage="0" equalAverage="0" bottom="0" percent="0" rank="0" text="" dxfId="23">
      <formula>AND(ISNUMBER(Q25),Q25&gt;=0.95)</formula>
    </cfRule>
    <cfRule type="expression" priority="575" aboveAverage="0" equalAverage="0" bottom="0" percent="0" rank="0" text="" dxfId="24">
      <formula>AND(ISNUMBER(Q25),Q25&lt;0.85)</formula>
    </cfRule>
    <cfRule type="expression" priority="576" aboveAverage="0" equalAverage="0" bottom="0" percent="0" rank="0" text="" dxfId="25">
      <formula>AND(ISNUMBER(Q25),Q25&gt;=0.85,Q25&lt;0.95)</formula>
    </cfRule>
  </conditionalFormatting>
  <conditionalFormatting sqref="R25">
    <cfRule type="expression" priority="577" aboveAverage="0" equalAverage="0" bottom="0" percent="0" rank="0" text="" dxfId="23">
      <formula>AND(ISNUMBER(R25),R25&gt;=0.95)</formula>
    </cfRule>
    <cfRule type="expression" priority="578" aboveAverage="0" equalAverage="0" bottom="0" percent="0" rank="0" text="" dxfId="24">
      <formula>AND(ISNUMBER(R25),R25&lt;0.85)</formula>
    </cfRule>
    <cfRule type="expression" priority="579" aboveAverage="0" equalAverage="0" bottom="0" percent="0" rank="0" text="" dxfId="25">
      <formula>AND(ISNUMBER(R25),R25&gt;=0.85,R25&lt;0.95)</formula>
    </cfRule>
  </conditionalFormatting>
  <conditionalFormatting sqref="S25">
    <cfRule type="expression" priority="580" aboveAverage="0" equalAverage="0" bottom="0" percent="0" rank="0" text="" dxfId="23">
      <formula>AND(ISNUMBER(S25),S25&gt;=0.95)</formula>
    </cfRule>
    <cfRule type="expression" priority="581" aboveAverage="0" equalAverage="0" bottom="0" percent="0" rank="0" text="" dxfId="24">
      <formula>AND(ISNUMBER(S25),S25&lt;0.85)</formula>
    </cfRule>
    <cfRule type="expression" priority="582" aboveAverage="0" equalAverage="0" bottom="0" percent="0" rank="0" text="" dxfId="25">
      <formula>AND(ISNUMBER(S25),S25&gt;=0.85,S25&lt;0.95)</formula>
    </cfRule>
  </conditionalFormatting>
  <conditionalFormatting sqref="H26">
    <cfRule type="expression" priority="583" aboveAverage="0" equalAverage="0" bottom="0" percent="0" rank="0" text="" dxfId="23">
      <formula>AND(ISNUMBER(H26),H26&gt;=0.9)</formula>
    </cfRule>
    <cfRule type="expression" priority="584" aboveAverage="0" equalAverage="0" bottom="0" percent="0" rank="0" text="" dxfId="24">
      <formula>AND(ISNUMBER(H26),H26&lt;0.8)</formula>
    </cfRule>
    <cfRule type="expression" priority="585" aboveAverage="0" equalAverage="0" bottom="0" percent="0" rank="0" text="" dxfId="25">
      <formula>AND(ISNUMBER(H26),H26&gt;=0.8,H26&lt;0.9)</formula>
    </cfRule>
  </conditionalFormatting>
  <conditionalFormatting sqref="I26">
    <cfRule type="expression" priority="586" aboveAverage="0" equalAverage="0" bottom="0" percent="0" rank="0" text="" dxfId="23">
      <formula>AND(ISNUMBER(I26),I26&gt;=0.9)</formula>
    </cfRule>
    <cfRule type="expression" priority="587" aboveAverage="0" equalAverage="0" bottom="0" percent="0" rank="0" text="" dxfId="24">
      <formula>AND(ISNUMBER(I26),I26&lt;0.8)</formula>
    </cfRule>
    <cfRule type="expression" priority="588" aboveAverage="0" equalAverage="0" bottom="0" percent="0" rank="0" text="" dxfId="25">
      <formula>AND(ISNUMBER(I26),I26&gt;=0.8,I26&lt;0.9)</formula>
    </cfRule>
  </conditionalFormatting>
  <conditionalFormatting sqref="J26">
    <cfRule type="expression" priority="589" aboveAverage="0" equalAverage="0" bottom="0" percent="0" rank="0" text="" dxfId="23">
      <formula>AND(ISNUMBER(J26),J26&gt;=0.9)</formula>
    </cfRule>
    <cfRule type="expression" priority="590" aboveAverage="0" equalAverage="0" bottom="0" percent="0" rank="0" text="" dxfId="24">
      <formula>AND(ISNUMBER(J26),J26&lt;0.8)</formula>
    </cfRule>
    <cfRule type="expression" priority="591" aboveAverage="0" equalAverage="0" bottom="0" percent="0" rank="0" text="" dxfId="25">
      <formula>AND(ISNUMBER(J26),J26&gt;=0.8,J26&lt;0.9)</formula>
    </cfRule>
  </conditionalFormatting>
  <conditionalFormatting sqref="K26">
    <cfRule type="expression" priority="592" aboveAverage="0" equalAverage="0" bottom="0" percent="0" rank="0" text="" dxfId="23">
      <formula>AND(ISNUMBER(K26),K26&gt;=0.9)</formula>
    </cfRule>
    <cfRule type="expression" priority="593" aboveAverage="0" equalAverage="0" bottom="0" percent="0" rank="0" text="" dxfId="24">
      <formula>AND(ISNUMBER(K26),K26&lt;0.8)</formula>
    </cfRule>
    <cfRule type="expression" priority="594" aboveAverage="0" equalAverage="0" bottom="0" percent="0" rank="0" text="" dxfId="25">
      <formula>AND(ISNUMBER(K26),K26&gt;=0.8,K26&lt;0.9)</formula>
    </cfRule>
  </conditionalFormatting>
  <conditionalFormatting sqref="L26">
    <cfRule type="expression" priority="595" aboveAverage="0" equalAverage="0" bottom="0" percent="0" rank="0" text="" dxfId="23">
      <formula>AND(ISNUMBER(L26),L26&gt;=0.9)</formula>
    </cfRule>
    <cfRule type="expression" priority="596" aboveAverage="0" equalAverage="0" bottom="0" percent="0" rank="0" text="" dxfId="24">
      <formula>AND(ISNUMBER(L26),L26&lt;0.8)</formula>
    </cfRule>
    <cfRule type="expression" priority="597" aboveAverage="0" equalAverage="0" bottom="0" percent="0" rank="0" text="" dxfId="25">
      <formula>AND(ISNUMBER(L26),L26&gt;=0.8,L26&lt;0.9)</formula>
    </cfRule>
  </conditionalFormatting>
  <conditionalFormatting sqref="M26">
    <cfRule type="expression" priority="598" aboveAverage="0" equalAverage="0" bottom="0" percent="0" rank="0" text="" dxfId="23">
      <formula>AND(ISNUMBER(M26),M26&gt;=0.9)</formula>
    </cfRule>
    <cfRule type="expression" priority="599" aboveAverage="0" equalAverage="0" bottom="0" percent="0" rank="0" text="" dxfId="24">
      <formula>AND(ISNUMBER(M26),M26&lt;0.8)</formula>
    </cfRule>
    <cfRule type="expression" priority="600" aboveAverage="0" equalAverage="0" bottom="0" percent="0" rank="0" text="" dxfId="25">
      <formula>AND(ISNUMBER(M26),M26&gt;=0.8,M26&lt;0.9)</formula>
    </cfRule>
  </conditionalFormatting>
  <conditionalFormatting sqref="N26">
    <cfRule type="expression" priority="601" aboveAverage="0" equalAverage="0" bottom="0" percent="0" rank="0" text="" dxfId="23">
      <formula>AND(ISNUMBER(N26),N26&gt;=0.9)</formula>
    </cfRule>
    <cfRule type="expression" priority="602" aboveAverage="0" equalAverage="0" bottom="0" percent="0" rank="0" text="" dxfId="24">
      <formula>AND(ISNUMBER(N26),N26&lt;0.8)</formula>
    </cfRule>
    <cfRule type="expression" priority="603" aboveAverage="0" equalAverage="0" bottom="0" percent="0" rank="0" text="" dxfId="25">
      <formula>AND(ISNUMBER(N26),N26&gt;=0.8,N26&lt;0.9)</formula>
    </cfRule>
  </conditionalFormatting>
  <conditionalFormatting sqref="O26">
    <cfRule type="expression" priority="604" aboveAverage="0" equalAverage="0" bottom="0" percent="0" rank="0" text="" dxfId="23">
      <formula>AND(ISNUMBER(O26),O26&gt;=0.9)</formula>
    </cfRule>
    <cfRule type="expression" priority="605" aboveAverage="0" equalAverage="0" bottom="0" percent="0" rank="0" text="" dxfId="24">
      <formula>AND(ISNUMBER(O26),O26&lt;0.8)</formula>
    </cfRule>
    <cfRule type="expression" priority="606" aboveAverage="0" equalAverage="0" bottom="0" percent="0" rank="0" text="" dxfId="25">
      <formula>AND(ISNUMBER(O26),O26&gt;=0.8,O26&lt;0.9)</formula>
    </cfRule>
  </conditionalFormatting>
  <conditionalFormatting sqref="P26">
    <cfRule type="expression" priority="607" aboveAverage="0" equalAverage="0" bottom="0" percent="0" rank="0" text="" dxfId="23">
      <formula>AND(ISNUMBER(P26),P26&gt;=0.9)</formula>
    </cfRule>
    <cfRule type="expression" priority="608" aboveAverage="0" equalAverage="0" bottom="0" percent="0" rank="0" text="" dxfId="24">
      <formula>AND(ISNUMBER(P26),P26&lt;0.8)</formula>
    </cfRule>
    <cfRule type="expression" priority="609" aboveAverage="0" equalAverage="0" bottom="0" percent="0" rank="0" text="" dxfId="25">
      <formula>AND(ISNUMBER(P26),P26&gt;=0.8,P26&lt;0.9)</formula>
    </cfRule>
  </conditionalFormatting>
  <conditionalFormatting sqref="Q26">
    <cfRule type="expression" priority="610" aboveAverage="0" equalAverage="0" bottom="0" percent="0" rank="0" text="" dxfId="23">
      <formula>AND(ISNUMBER(Q26),Q26&gt;=0.9)</formula>
    </cfRule>
    <cfRule type="expression" priority="611" aboveAverage="0" equalAverage="0" bottom="0" percent="0" rank="0" text="" dxfId="24">
      <formula>AND(ISNUMBER(Q26),Q26&lt;0.8)</formula>
    </cfRule>
    <cfRule type="expression" priority="612" aboveAverage="0" equalAverage="0" bottom="0" percent="0" rank="0" text="" dxfId="25">
      <formula>AND(ISNUMBER(Q26),Q26&gt;=0.8,Q26&lt;0.9)</formula>
    </cfRule>
  </conditionalFormatting>
  <conditionalFormatting sqref="R26">
    <cfRule type="expression" priority="613" aboveAverage="0" equalAverage="0" bottom="0" percent="0" rank="0" text="" dxfId="23">
      <formula>AND(ISNUMBER(R26),R26&gt;=0.9)</formula>
    </cfRule>
    <cfRule type="expression" priority="614" aboveAverage="0" equalAverage="0" bottom="0" percent="0" rank="0" text="" dxfId="24">
      <formula>AND(ISNUMBER(R26),R26&lt;0.8)</formula>
    </cfRule>
    <cfRule type="expression" priority="615" aboveAverage="0" equalAverage="0" bottom="0" percent="0" rank="0" text="" dxfId="25">
      <formula>AND(ISNUMBER(R26),R26&gt;=0.8,R26&lt;0.9)</formula>
    </cfRule>
  </conditionalFormatting>
  <conditionalFormatting sqref="S26">
    <cfRule type="expression" priority="616" aboveAverage="0" equalAverage="0" bottom="0" percent="0" rank="0" text="" dxfId="23">
      <formula>AND(ISNUMBER(S26),S26&gt;=0.9)</formula>
    </cfRule>
    <cfRule type="expression" priority="617" aboveAverage="0" equalAverage="0" bottom="0" percent="0" rank="0" text="" dxfId="24">
      <formula>AND(ISNUMBER(S26),S26&lt;0.8)</formula>
    </cfRule>
    <cfRule type="expression" priority="618" aboveAverage="0" equalAverage="0" bottom="0" percent="0" rank="0" text="" dxfId="25">
      <formula>AND(ISNUMBER(S26),S26&gt;=0.8,S26&lt;0.9)</formula>
    </cfRule>
  </conditionalFormatting>
  <conditionalFormatting sqref="H28">
    <cfRule type="expression" priority="619" aboveAverage="0" equalAverage="0" bottom="0" percent="0" rank="0" text="" dxfId="23">
      <formula>AND(ISNUMBER(H28),H28&gt;=0.85)</formula>
    </cfRule>
    <cfRule type="expression" priority="620" aboveAverage="0" equalAverage="0" bottom="0" percent="0" rank="0" text="" dxfId="24">
      <formula>AND(ISNUMBER(H28),H28&lt;0.7)</formula>
    </cfRule>
    <cfRule type="expression" priority="621" aboveAverage="0" equalAverage="0" bottom="0" percent="0" rank="0" text="" dxfId="25">
      <formula>AND(ISNUMBER(H28),H28&gt;=0.7,H28&lt;0.85)</formula>
    </cfRule>
  </conditionalFormatting>
  <conditionalFormatting sqref="I28">
    <cfRule type="expression" priority="622" aboveAverage="0" equalAverage="0" bottom="0" percent="0" rank="0" text="" dxfId="23">
      <formula>AND(ISNUMBER(I28),I28&gt;=0.85)</formula>
    </cfRule>
    <cfRule type="expression" priority="623" aboveAverage="0" equalAverage="0" bottom="0" percent="0" rank="0" text="" dxfId="24">
      <formula>AND(ISNUMBER(I28),I28&lt;0.7)</formula>
    </cfRule>
    <cfRule type="expression" priority="624" aboveAverage="0" equalAverage="0" bottom="0" percent="0" rank="0" text="" dxfId="25">
      <formula>AND(ISNUMBER(I28),I28&gt;=0.7,I28&lt;0.85)</formula>
    </cfRule>
  </conditionalFormatting>
  <conditionalFormatting sqref="J28">
    <cfRule type="expression" priority="625" aboveAverage="0" equalAverage="0" bottom="0" percent="0" rank="0" text="" dxfId="23">
      <formula>AND(ISNUMBER(J28),J28&gt;=0.85)</formula>
    </cfRule>
    <cfRule type="expression" priority="626" aboveAverage="0" equalAverage="0" bottom="0" percent="0" rank="0" text="" dxfId="24">
      <formula>AND(ISNUMBER(J28),J28&lt;0.7)</formula>
    </cfRule>
    <cfRule type="expression" priority="627" aboveAverage="0" equalAverage="0" bottom="0" percent="0" rank="0" text="" dxfId="25">
      <formula>AND(ISNUMBER(J28),J28&gt;=0.7,J28&lt;0.85)</formula>
    </cfRule>
  </conditionalFormatting>
  <conditionalFormatting sqref="K28">
    <cfRule type="expression" priority="628" aboveAverage="0" equalAverage="0" bottom="0" percent="0" rank="0" text="" dxfId="23">
      <formula>AND(ISNUMBER(K28),K28&gt;=0.85)</formula>
    </cfRule>
    <cfRule type="expression" priority="629" aboveAverage="0" equalAverage="0" bottom="0" percent="0" rank="0" text="" dxfId="24">
      <formula>AND(ISNUMBER(K28),K28&lt;0.7)</formula>
    </cfRule>
    <cfRule type="expression" priority="630" aboveAverage="0" equalAverage="0" bottom="0" percent="0" rank="0" text="" dxfId="25">
      <formula>AND(ISNUMBER(K28),K28&gt;=0.7,K28&lt;0.85)</formula>
    </cfRule>
  </conditionalFormatting>
  <conditionalFormatting sqref="L28">
    <cfRule type="expression" priority="631" aboveAverage="0" equalAverage="0" bottom="0" percent="0" rank="0" text="" dxfId="23">
      <formula>AND(ISNUMBER(L28),L28&gt;=0.85)</formula>
    </cfRule>
    <cfRule type="expression" priority="632" aboveAverage="0" equalAverage="0" bottom="0" percent="0" rank="0" text="" dxfId="24">
      <formula>AND(ISNUMBER(L28),L28&lt;0.7)</formula>
    </cfRule>
    <cfRule type="expression" priority="633" aboveAverage="0" equalAverage="0" bottom="0" percent="0" rank="0" text="" dxfId="25">
      <formula>AND(ISNUMBER(L28),L28&gt;=0.7,L28&lt;0.85)</formula>
    </cfRule>
  </conditionalFormatting>
  <conditionalFormatting sqref="M28">
    <cfRule type="expression" priority="634" aboveAverage="0" equalAverage="0" bottom="0" percent="0" rank="0" text="" dxfId="23">
      <formula>AND(ISNUMBER(M28),M28&gt;=0.85)</formula>
    </cfRule>
    <cfRule type="expression" priority="635" aboveAverage="0" equalAverage="0" bottom="0" percent="0" rank="0" text="" dxfId="24">
      <formula>AND(ISNUMBER(M28),M28&lt;0.7)</formula>
    </cfRule>
    <cfRule type="expression" priority="636" aboveAverage="0" equalAverage="0" bottom="0" percent="0" rank="0" text="" dxfId="25">
      <formula>AND(ISNUMBER(M28),M28&gt;=0.7,M28&lt;0.85)</formula>
    </cfRule>
  </conditionalFormatting>
  <conditionalFormatting sqref="N28">
    <cfRule type="expression" priority="637" aboveAverage="0" equalAverage="0" bottom="0" percent="0" rank="0" text="" dxfId="23">
      <formula>AND(ISNUMBER(N28),N28&gt;=0.85)</formula>
    </cfRule>
    <cfRule type="expression" priority="638" aboveAverage="0" equalAverage="0" bottom="0" percent="0" rank="0" text="" dxfId="24">
      <formula>AND(ISNUMBER(N28),N28&lt;0.7)</formula>
    </cfRule>
    <cfRule type="expression" priority="639" aboveAverage="0" equalAverage="0" bottom="0" percent="0" rank="0" text="" dxfId="25">
      <formula>AND(ISNUMBER(N28),N28&gt;=0.7,N28&lt;0.85)</formula>
    </cfRule>
  </conditionalFormatting>
  <conditionalFormatting sqref="O28">
    <cfRule type="expression" priority="640" aboveAverage="0" equalAverage="0" bottom="0" percent="0" rank="0" text="" dxfId="23">
      <formula>AND(ISNUMBER(O28),O28&gt;=0.85)</formula>
    </cfRule>
    <cfRule type="expression" priority="641" aboveAverage="0" equalAverage="0" bottom="0" percent="0" rank="0" text="" dxfId="24">
      <formula>AND(ISNUMBER(O28),O28&lt;0.7)</formula>
    </cfRule>
    <cfRule type="expression" priority="642" aboveAverage="0" equalAverage="0" bottom="0" percent="0" rank="0" text="" dxfId="25">
      <formula>AND(ISNUMBER(O28),O28&gt;=0.7,O28&lt;0.85)</formula>
    </cfRule>
  </conditionalFormatting>
  <conditionalFormatting sqref="P28">
    <cfRule type="expression" priority="643" aboveAverage="0" equalAverage="0" bottom="0" percent="0" rank="0" text="" dxfId="23">
      <formula>AND(ISNUMBER(P28),P28&gt;=0.85)</formula>
    </cfRule>
    <cfRule type="expression" priority="644" aboveAverage="0" equalAverage="0" bottom="0" percent="0" rank="0" text="" dxfId="24">
      <formula>AND(ISNUMBER(P28),P28&lt;0.7)</formula>
    </cfRule>
    <cfRule type="expression" priority="645" aboveAverage="0" equalAverage="0" bottom="0" percent="0" rank="0" text="" dxfId="25">
      <formula>AND(ISNUMBER(P28),P28&gt;=0.7,P28&lt;0.85)</formula>
    </cfRule>
  </conditionalFormatting>
  <conditionalFormatting sqref="Q28">
    <cfRule type="expression" priority="646" aboveAverage="0" equalAverage="0" bottom="0" percent="0" rank="0" text="" dxfId="23">
      <formula>AND(ISNUMBER(Q28),Q28&gt;=0.85)</formula>
    </cfRule>
    <cfRule type="expression" priority="647" aboveAverage="0" equalAverage="0" bottom="0" percent="0" rank="0" text="" dxfId="24">
      <formula>AND(ISNUMBER(Q28),Q28&lt;0.7)</formula>
    </cfRule>
    <cfRule type="expression" priority="648" aboveAverage="0" equalAverage="0" bottom="0" percent="0" rank="0" text="" dxfId="25">
      <formula>AND(ISNUMBER(Q28),Q28&gt;=0.7,Q28&lt;0.85)</formula>
    </cfRule>
  </conditionalFormatting>
  <conditionalFormatting sqref="R28">
    <cfRule type="expression" priority="649" aboveAverage="0" equalAverage="0" bottom="0" percent="0" rank="0" text="" dxfId="23">
      <formula>AND(ISNUMBER(R28),R28&gt;=0.85)</formula>
    </cfRule>
    <cfRule type="expression" priority="650" aboveAverage="0" equalAverage="0" bottom="0" percent="0" rank="0" text="" dxfId="24">
      <formula>AND(ISNUMBER(R28),R28&lt;0.7)</formula>
    </cfRule>
    <cfRule type="expression" priority="651" aboveAverage="0" equalAverage="0" bottom="0" percent="0" rank="0" text="" dxfId="25">
      <formula>AND(ISNUMBER(R28),R28&gt;=0.7,R28&lt;0.85)</formula>
    </cfRule>
  </conditionalFormatting>
  <conditionalFormatting sqref="S28">
    <cfRule type="expression" priority="652" aboveAverage="0" equalAverage="0" bottom="0" percent="0" rank="0" text="" dxfId="23">
      <formula>AND(ISNUMBER(S28),S28&gt;=0.85)</formula>
    </cfRule>
    <cfRule type="expression" priority="653" aboveAverage="0" equalAverage="0" bottom="0" percent="0" rank="0" text="" dxfId="24">
      <formula>AND(ISNUMBER(S28),S28&lt;0.7)</formula>
    </cfRule>
    <cfRule type="expression" priority="654" aboveAverage="0" equalAverage="0" bottom="0" percent="0" rank="0" text="" dxfId="25">
      <formula>AND(ISNUMBER(S28),S28&gt;=0.7,S28&lt;0.85)</formula>
    </cfRule>
  </conditionalFormatting>
  <conditionalFormatting sqref="H29">
    <cfRule type="expression" priority="655" aboveAverage="0" equalAverage="0" bottom="0" percent="0" rank="0" text="" dxfId="23">
      <formula>AND(ISNUMBER(H29),H29&gt;=1)</formula>
    </cfRule>
    <cfRule type="expression" priority="656" aboveAverage="0" equalAverage="0" bottom="0" percent="0" rank="0" text="" dxfId="24">
      <formula>AND(ISNUMBER(H29),H29&lt;0.95)</formula>
    </cfRule>
    <cfRule type="expression" priority="657" aboveAverage="0" equalAverage="0" bottom="0" percent="0" rank="0" text="" dxfId="25">
      <formula>AND(ISNUMBER(H29),H29&gt;=0.95,H29&lt;1)</formula>
    </cfRule>
  </conditionalFormatting>
  <conditionalFormatting sqref="I29">
    <cfRule type="expression" priority="658" aboveAverage="0" equalAverage="0" bottom="0" percent="0" rank="0" text="" dxfId="23">
      <formula>AND(ISNUMBER(I29),I29&gt;=1)</formula>
    </cfRule>
    <cfRule type="expression" priority="659" aboveAverage="0" equalAverage="0" bottom="0" percent="0" rank="0" text="" dxfId="24">
      <formula>AND(ISNUMBER(I29),I29&lt;0.95)</formula>
    </cfRule>
    <cfRule type="expression" priority="660" aboveAverage="0" equalAverage="0" bottom="0" percent="0" rank="0" text="" dxfId="25">
      <formula>AND(ISNUMBER(I29),I29&gt;=0.95,I29&lt;1)</formula>
    </cfRule>
  </conditionalFormatting>
  <conditionalFormatting sqref="J29">
    <cfRule type="expression" priority="661" aboveAverage="0" equalAverage="0" bottom="0" percent="0" rank="0" text="" dxfId="23">
      <formula>AND(ISNUMBER(J29),J29&gt;=1)</formula>
    </cfRule>
    <cfRule type="expression" priority="662" aboveAverage="0" equalAverage="0" bottom="0" percent="0" rank="0" text="" dxfId="24">
      <formula>AND(ISNUMBER(J29),J29&lt;0.95)</formula>
    </cfRule>
    <cfRule type="expression" priority="663" aboveAverage="0" equalAverage="0" bottom="0" percent="0" rank="0" text="" dxfId="25">
      <formula>AND(ISNUMBER(J29),J29&gt;=0.95,J29&lt;1)</formula>
    </cfRule>
  </conditionalFormatting>
  <conditionalFormatting sqref="K29">
    <cfRule type="expression" priority="664" aboveAverage="0" equalAverage="0" bottom="0" percent="0" rank="0" text="" dxfId="23">
      <formula>AND(ISNUMBER(K29),K29&gt;=1)</formula>
    </cfRule>
    <cfRule type="expression" priority="665" aboveAverage="0" equalAverage="0" bottom="0" percent="0" rank="0" text="" dxfId="24">
      <formula>AND(ISNUMBER(K29),K29&lt;0.95)</formula>
    </cfRule>
    <cfRule type="expression" priority="666" aboveAverage="0" equalAverage="0" bottom="0" percent="0" rank="0" text="" dxfId="25">
      <formula>AND(ISNUMBER(K29),K29&gt;=0.95,K29&lt;1)</formula>
    </cfRule>
  </conditionalFormatting>
  <conditionalFormatting sqref="L29">
    <cfRule type="expression" priority="667" aboveAverage="0" equalAverage="0" bottom="0" percent="0" rank="0" text="" dxfId="23">
      <formula>AND(ISNUMBER(L29),L29&gt;=1)</formula>
    </cfRule>
    <cfRule type="expression" priority="668" aboveAverage="0" equalAverage="0" bottom="0" percent="0" rank="0" text="" dxfId="24">
      <formula>AND(ISNUMBER(L29),L29&lt;0.95)</formula>
    </cfRule>
    <cfRule type="expression" priority="669" aboveAverage="0" equalAverage="0" bottom="0" percent="0" rank="0" text="" dxfId="25">
      <formula>AND(ISNUMBER(L29),L29&gt;=0.95,L29&lt;1)</formula>
    </cfRule>
  </conditionalFormatting>
  <conditionalFormatting sqref="M29">
    <cfRule type="expression" priority="670" aboveAverage="0" equalAverage="0" bottom="0" percent="0" rank="0" text="" dxfId="23">
      <formula>AND(ISNUMBER(M29),M29&gt;=1)</formula>
    </cfRule>
    <cfRule type="expression" priority="671" aboveAverage="0" equalAverage="0" bottom="0" percent="0" rank="0" text="" dxfId="24">
      <formula>AND(ISNUMBER(M29),M29&lt;0.95)</formula>
    </cfRule>
    <cfRule type="expression" priority="672" aboveAverage="0" equalAverage="0" bottom="0" percent="0" rank="0" text="" dxfId="25">
      <formula>AND(ISNUMBER(M29),M29&gt;=0.95,M29&lt;1)</formula>
    </cfRule>
  </conditionalFormatting>
  <conditionalFormatting sqref="N29">
    <cfRule type="expression" priority="673" aboveAverage="0" equalAverage="0" bottom="0" percent="0" rank="0" text="" dxfId="23">
      <formula>AND(ISNUMBER(N29),N29&gt;=1)</formula>
    </cfRule>
    <cfRule type="expression" priority="674" aboveAverage="0" equalAverage="0" bottom="0" percent="0" rank="0" text="" dxfId="24">
      <formula>AND(ISNUMBER(N29),N29&lt;0.95)</formula>
    </cfRule>
    <cfRule type="expression" priority="675" aboveAverage="0" equalAverage="0" bottom="0" percent="0" rank="0" text="" dxfId="25">
      <formula>AND(ISNUMBER(N29),N29&gt;=0.95,N29&lt;1)</formula>
    </cfRule>
  </conditionalFormatting>
  <conditionalFormatting sqref="O29">
    <cfRule type="expression" priority="676" aboveAverage="0" equalAverage="0" bottom="0" percent="0" rank="0" text="" dxfId="23">
      <formula>AND(ISNUMBER(O29),O29&gt;=1)</formula>
    </cfRule>
    <cfRule type="expression" priority="677" aboveAverage="0" equalAverage="0" bottom="0" percent="0" rank="0" text="" dxfId="24">
      <formula>AND(ISNUMBER(O29),O29&lt;0.95)</formula>
    </cfRule>
    <cfRule type="expression" priority="678" aboveAverage="0" equalAverage="0" bottom="0" percent="0" rank="0" text="" dxfId="25">
      <formula>AND(ISNUMBER(O29),O29&gt;=0.95,O29&lt;1)</formula>
    </cfRule>
  </conditionalFormatting>
  <conditionalFormatting sqref="P29">
    <cfRule type="expression" priority="679" aboveAverage="0" equalAverage="0" bottom="0" percent="0" rank="0" text="" dxfId="23">
      <formula>AND(ISNUMBER(P29),P29&gt;=1)</formula>
    </cfRule>
    <cfRule type="expression" priority="680" aboveAverage="0" equalAverage="0" bottom="0" percent="0" rank="0" text="" dxfId="24">
      <formula>AND(ISNUMBER(P29),P29&lt;0.95)</formula>
    </cfRule>
    <cfRule type="expression" priority="681" aboveAverage="0" equalAverage="0" bottom="0" percent="0" rank="0" text="" dxfId="25">
      <formula>AND(ISNUMBER(P29),P29&gt;=0.95,P29&lt;1)</formula>
    </cfRule>
  </conditionalFormatting>
  <conditionalFormatting sqref="Q29">
    <cfRule type="expression" priority="682" aboveAverage="0" equalAverage="0" bottom="0" percent="0" rank="0" text="" dxfId="23">
      <formula>AND(ISNUMBER(Q29),Q29&gt;=1)</formula>
    </cfRule>
    <cfRule type="expression" priority="683" aboveAverage="0" equalAverage="0" bottom="0" percent="0" rank="0" text="" dxfId="24">
      <formula>AND(ISNUMBER(Q29),Q29&lt;0.95)</formula>
    </cfRule>
    <cfRule type="expression" priority="684" aboveAverage="0" equalAverage="0" bottom="0" percent="0" rank="0" text="" dxfId="25">
      <formula>AND(ISNUMBER(Q29),Q29&gt;=0.95,Q29&lt;1)</formula>
    </cfRule>
  </conditionalFormatting>
  <conditionalFormatting sqref="R29">
    <cfRule type="expression" priority="685" aboveAverage="0" equalAverage="0" bottom="0" percent="0" rank="0" text="" dxfId="23">
      <formula>AND(ISNUMBER(R29),R29&gt;=1)</formula>
    </cfRule>
    <cfRule type="expression" priority="686" aboveAverage="0" equalAverage="0" bottom="0" percent="0" rank="0" text="" dxfId="24">
      <formula>AND(ISNUMBER(R29),R29&lt;0.95)</formula>
    </cfRule>
    <cfRule type="expression" priority="687" aboveAverage="0" equalAverage="0" bottom="0" percent="0" rank="0" text="" dxfId="25">
      <formula>AND(ISNUMBER(R29),R29&gt;=0.95,R29&lt;1)</formula>
    </cfRule>
  </conditionalFormatting>
  <conditionalFormatting sqref="S29">
    <cfRule type="expression" priority="688" aboveAverage="0" equalAverage="0" bottom="0" percent="0" rank="0" text="" dxfId="23">
      <formula>AND(ISNUMBER(S29),S29&gt;=1)</formula>
    </cfRule>
    <cfRule type="expression" priority="689" aboveAverage="0" equalAverage="0" bottom="0" percent="0" rank="0" text="" dxfId="24">
      <formula>AND(ISNUMBER(S29),S29&lt;0.95)</formula>
    </cfRule>
    <cfRule type="expression" priority="690" aboveAverage="0" equalAverage="0" bottom="0" percent="0" rank="0" text="" dxfId="25">
      <formula>AND(ISNUMBER(S29),S29&gt;=0.95,S29&lt;1)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false"/>
  </sheetPr>
  <dimension ref="B2: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6" min="3" style="0" width="12"/>
    <col collapsed="false" customWidth="true" hidden="false" outlineLevel="0" max="7" min="7" style="0" width="14"/>
  </cols>
  <sheetData>
    <row r="2" customFormat="false" ht="24.45" hidden="false" customHeight="false" outlineLevel="0" collapsed="false">
      <c r="B2" s="48" t="s">
        <v>225</v>
      </c>
      <c r="C2" s="48"/>
      <c r="D2" s="48"/>
      <c r="E2" s="48"/>
      <c r="F2" s="48"/>
      <c r="G2" s="48"/>
    </row>
    <row r="3" customFormat="false" ht="15" hidden="false" customHeight="false" outlineLevel="0" collapsed="false">
      <c r="B3" s="49" t="s">
        <v>226</v>
      </c>
      <c r="C3" s="49"/>
      <c r="D3" s="49"/>
      <c r="E3" s="49"/>
      <c r="F3" s="49"/>
      <c r="G3" s="49"/>
    </row>
    <row r="5" customFormat="false" ht="17.35" hidden="false" customHeight="false" outlineLevel="0" collapsed="false">
      <c r="B5" s="50" t="s">
        <v>227</v>
      </c>
      <c r="C5" s="51" t="n">
        <f aca="false">COUNTA('KPI Dashboard'!B5:B29)</f>
        <v>25</v>
      </c>
    </row>
    <row r="6" customFormat="false" ht="17.35" hidden="false" customHeight="false" outlineLevel="0" collapsed="false">
      <c r="B6" s="50" t="s">
        <v>228</v>
      </c>
      <c r="C6" s="51" t="n">
        <f aca="false">COUNT('KPI Dashboard'!T5:T29)</f>
        <v>19</v>
      </c>
    </row>
    <row r="7" customFormat="false" ht="17.35" hidden="false" customHeight="false" outlineLevel="0" collapsed="false">
      <c r="B7" s="50" t="s">
        <v>229</v>
      </c>
      <c r="C7" s="52" t="n">
        <f aca="false">COUNTIF('KPI Dashboard'!V5:V29,"Green")</f>
        <v>14</v>
      </c>
    </row>
    <row r="8" customFormat="false" ht="17.35" hidden="false" customHeight="false" outlineLevel="0" collapsed="false">
      <c r="B8" s="50" t="s">
        <v>230</v>
      </c>
      <c r="C8" s="53" t="n">
        <f aca="false">COUNTIF('KPI Dashboard'!V5:V29,"Amber")</f>
        <v>1</v>
      </c>
    </row>
    <row r="9" customFormat="false" ht="17.35" hidden="false" customHeight="false" outlineLevel="0" collapsed="false">
      <c r="B9" s="50" t="s">
        <v>231</v>
      </c>
      <c r="C9" s="54" t="n">
        <f aca="false">COUNTIF('KPI Dashboard'!V5:V29,"Red")</f>
        <v>0</v>
      </c>
    </row>
    <row r="10" customFormat="false" ht="17.35" hidden="false" customHeight="false" outlineLevel="0" collapsed="false">
      <c r="B10" s="50" t="s">
        <v>232</v>
      </c>
      <c r="C10" s="55" t="n">
        <f aca="false">COUNTIF('KPI Dashboard'!V5:V29,"Trend")</f>
        <v>5</v>
      </c>
    </row>
    <row r="13" customFormat="false" ht="15" hidden="false" customHeight="false" outlineLevel="0" collapsed="false">
      <c r="B13" s="56" t="s">
        <v>233</v>
      </c>
    </row>
    <row r="14" customFormat="false" ht="15" hidden="false" customHeight="false" outlineLevel="0" collapsed="false">
      <c r="B14" s="57" t="s">
        <v>96</v>
      </c>
      <c r="C14" s="57" t="s">
        <v>234</v>
      </c>
      <c r="D14" s="57" t="s">
        <v>99</v>
      </c>
      <c r="E14" s="57" t="s">
        <v>100</v>
      </c>
      <c r="F14" s="57" t="s">
        <v>101</v>
      </c>
    </row>
    <row r="15" customFormat="false" ht="15" hidden="false" customHeight="false" outlineLevel="0" collapsed="false">
      <c r="B15" s="58" t="s">
        <v>106</v>
      </c>
      <c r="C15" s="26" t="n">
        <f aca="false">COUNTIF('KPI Dashboard'!A5:A29,"Service Delivery")</f>
        <v>4</v>
      </c>
      <c r="D15" s="26" t="n">
        <f aca="false">COUNTIFS('KPI Dashboard'!A5:A29,"Service Delivery",'KPI Dashboard'!V5:V29,"Green")</f>
        <v>3</v>
      </c>
      <c r="E15" s="26" t="n">
        <f aca="false">COUNTIFS('KPI Dashboard'!A5:A29,"Service Delivery",'KPI Dashboard'!V5:V29,"Amber")</f>
        <v>1</v>
      </c>
      <c r="F15" s="26" t="n">
        <f aca="false">COUNTIFS('KPI Dashboard'!A5:A29,"Service Delivery",'KPI Dashboard'!V5:V29,"Red")</f>
        <v>0</v>
      </c>
    </row>
    <row r="16" customFormat="false" ht="15" hidden="false" customHeight="false" outlineLevel="0" collapsed="false">
      <c r="B16" s="59" t="s">
        <v>131</v>
      </c>
      <c r="C16" s="26" t="n">
        <f aca="false">COUNTIF('KPI Dashboard'!A5:A29,"Clinical Safety")</f>
        <v>4</v>
      </c>
      <c r="D16" s="26" t="n">
        <f aca="false">COUNTIFS('KPI Dashboard'!A5:A29,"Clinical Safety",'KPI Dashboard'!V5:V29,"Green")</f>
        <v>3</v>
      </c>
      <c r="E16" s="26" t="n">
        <f aca="false">COUNTIFS('KPI Dashboard'!A5:A29,"Clinical Safety",'KPI Dashboard'!V5:V29,"Amber")</f>
        <v>0</v>
      </c>
      <c r="F16" s="26" t="n">
        <f aca="false">COUNTIFS('KPI Dashboard'!A5:A29,"Clinical Safety",'KPI Dashboard'!V5:V29,"Red")</f>
        <v>0</v>
      </c>
    </row>
    <row r="17" customFormat="false" ht="15" hidden="false" customHeight="false" outlineLevel="0" collapsed="false">
      <c r="B17" s="60" t="s">
        <v>155</v>
      </c>
      <c r="C17" s="26" t="n">
        <f aca="false">COUNTIF('KPI Dashboard'!A5:A29,"Service User Experience")</f>
        <v>5</v>
      </c>
      <c r="D17" s="26" t="n">
        <f aca="false">COUNTIFS('KPI Dashboard'!A5:A29,"Service User Experience",'KPI Dashboard'!V5:V29,"Green")</f>
        <v>1</v>
      </c>
      <c r="E17" s="26" t="n">
        <f aca="false">COUNTIFS('KPI Dashboard'!A5:A29,"Service User Experience",'KPI Dashboard'!V5:V29,"Amber")</f>
        <v>0</v>
      </c>
      <c r="F17" s="26" t="n">
        <f aca="false">COUNTIFS('KPI Dashboard'!A5:A29,"Service User Experience",'KPI Dashboard'!V5:V29,"Red")</f>
        <v>0</v>
      </c>
    </row>
    <row r="18" customFormat="false" ht="15" hidden="false" customHeight="false" outlineLevel="0" collapsed="false">
      <c r="B18" s="61" t="s">
        <v>176</v>
      </c>
      <c r="C18" s="26" t="n">
        <f aca="false">COUNTIF('KPI Dashboard'!A5:A29,"Staff Workforce")</f>
        <v>5</v>
      </c>
      <c r="D18" s="26" t="n">
        <f aca="false">COUNTIFS('KPI Dashboard'!A5:A29,"Staff Workforce",'KPI Dashboard'!V5:V29,"Green")</f>
        <v>5</v>
      </c>
      <c r="E18" s="26" t="n">
        <f aca="false">COUNTIFS('KPI Dashboard'!A5:A29,"Staff Workforce",'KPI Dashboard'!V5:V29,"Amber")</f>
        <v>0</v>
      </c>
      <c r="F18" s="26" t="n">
        <f aca="false">COUNTIFS('KPI Dashboard'!A5:A29,"Staff Workforce",'KPI Dashboard'!V5:V29,"Red")</f>
        <v>0</v>
      </c>
    </row>
    <row r="19" customFormat="false" ht="15" hidden="false" customHeight="false" outlineLevel="0" collapsed="false">
      <c r="B19" s="62" t="s">
        <v>201</v>
      </c>
      <c r="C19" s="26" t="n">
        <f aca="false">COUNTIF('KPI Dashboard'!A5:A29,"Governance &amp; Compliance")</f>
        <v>7</v>
      </c>
      <c r="D19" s="26" t="n">
        <f aca="false">COUNTIFS('KPI Dashboard'!A5:A29,"Governance &amp; Compliance",'KPI Dashboard'!V5:V29,"Green")</f>
        <v>2</v>
      </c>
      <c r="E19" s="26" t="n">
        <f aca="false">COUNTIFS('KPI Dashboard'!A5:A29,"Governance &amp; Compliance",'KPI Dashboard'!V5:V29,"Amber")</f>
        <v>0</v>
      </c>
      <c r="F19" s="26" t="n">
        <f aca="false">COUNTIFS('KPI Dashboard'!A5:A29,"Governance &amp; Compliance",'KPI Dashboard'!V5:V29,"Red")</f>
        <v>0</v>
      </c>
    </row>
  </sheetData>
  <mergeCells count="2">
    <mergeCell ref="B2:G2"/>
    <mergeCell ref="B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38F"/>
    <pageSetUpPr fitToPage="false"/>
  </sheetPr>
  <dimension ref="B2:B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00"/>
  </cols>
  <sheetData>
    <row r="2" customFormat="false" ht="24.45" hidden="false" customHeight="false" outlineLevel="0" collapsed="false">
      <c r="B2" s="63" t="s">
        <v>235</v>
      </c>
    </row>
    <row r="4" customFormat="false" ht="15" hidden="false" customHeight="false" outlineLevel="0" collapsed="false">
      <c r="B4" s="56" t="s">
        <v>236</v>
      </c>
    </row>
    <row r="5" customFormat="false" ht="42" hidden="false" customHeight="true" outlineLevel="0" collapsed="false">
      <c r="B5" s="64" t="s">
        <v>237</v>
      </c>
    </row>
    <row r="7" customFormat="false" ht="15" hidden="false" customHeight="false" outlineLevel="0" collapsed="false">
      <c r="B7" s="56" t="s">
        <v>238</v>
      </c>
    </row>
    <row r="8" customFormat="false" ht="55.5" hidden="false" customHeight="true" outlineLevel="0" collapsed="false">
      <c r="B8" s="64" t="s">
        <v>239</v>
      </c>
    </row>
    <row r="10" customFormat="false" ht="15" hidden="false" customHeight="false" outlineLevel="0" collapsed="false">
      <c r="B10" s="56" t="s">
        <v>240</v>
      </c>
    </row>
    <row r="11" customFormat="false" ht="69.75" hidden="false" customHeight="true" outlineLevel="0" collapsed="false">
      <c r="B11" s="64" t="s">
        <v>241</v>
      </c>
    </row>
    <row r="13" customFormat="false" ht="15" hidden="false" customHeight="false" outlineLevel="0" collapsed="false">
      <c r="B13" s="56" t="s">
        <v>242</v>
      </c>
    </row>
    <row r="14" customFormat="false" ht="55.5" hidden="false" customHeight="true" outlineLevel="0" collapsed="false">
      <c r="B14" s="64" t="s">
        <v>243</v>
      </c>
    </row>
    <row r="16" customFormat="false" ht="15" hidden="false" customHeight="false" outlineLevel="0" collapsed="false">
      <c r="B16" s="56" t="s">
        <v>244</v>
      </c>
    </row>
    <row r="17" customFormat="false" ht="42" hidden="false" customHeight="true" outlineLevel="0" collapsed="false">
      <c r="B17" s="64" t="s">
        <v>245</v>
      </c>
    </row>
    <row r="19" customFormat="false" ht="15" hidden="false" customHeight="false" outlineLevel="0" collapsed="false">
      <c r="B19" s="56" t="s">
        <v>246</v>
      </c>
    </row>
    <row r="20" customFormat="false" ht="55.5" hidden="false" customHeight="true" outlineLevel="0" collapsed="false">
      <c r="B20" s="64" t="s">
        <v>247</v>
      </c>
    </row>
    <row r="22" customFormat="false" ht="15" hidden="false" customHeight="false" outlineLevel="0" collapsed="false">
      <c r="B22" s="56" t="s">
        <v>248</v>
      </c>
    </row>
    <row r="23" customFormat="false" ht="42" hidden="false" customHeight="true" outlineLevel="0" collapsed="false">
      <c r="B23" s="64" t="s">
        <v>249</v>
      </c>
    </row>
    <row r="25" customFormat="false" ht="15" hidden="false" customHeight="false" outlineLevel="0" collapsed="false">
      <c r="B25" s="56" t="s">
        <v>250</v>
      </c>
    </row>
    <row r="26" customFormat="false" ht="55.5" hidden="false" customHeight="true" outlineLevel="0" collapsed="false">
      <c r="B26" s="64" t="s">
        <v>251</v>
      </c>
    </row>
    <row r="28" customFormat="false" ht="15" hidden="false" customHeight="false" outlineLevel="0" collapsed="false">
      <c r="B28" s="56" t="s">
        <v>252</v>
      </c>
    </row>
    <row r="29" customFormat="false" ht="69.75" hidden="false" customHeight="true" outlineLevel="0" collapsed="false">
      <c r="B29" s="64" t="s">
        <v>253</v>
      </c>
    </row>
    <row r="31" customFormat="false" ht="15" hidden="false" customHeight="false" outlineLevel="0" collapsed="false">
      <c r="B31" s="56" t="s">
        <v>254</v>
      </c>
    </row>
    <row r="32" customFormat="false" ht="55.5" hidden="false" customHeight="true" outlineLevel="0" collapsed="false">
      <c r="B32" s="64" t="s">
        <v>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2026-05-16T10:09:27Z</dcterms:created>
  <dc:creator>openpyxl</dc:creator>
  <dc:description/>
  <dc:language>en-US</dc:language>
  <cp:lastModifiedBy/>
  <dcterms:modified xsi:type="dcterms:W3CDTF">2026-05-16T10:09:27Z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