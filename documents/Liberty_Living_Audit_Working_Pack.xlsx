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CP-01 Care Plan Audit" sheetId="2" state="visible" r:id="rId4"/>
    <sheet name="MED-01 Medication Prompting Aud" sheetId="3" state="visible" r:id="rId5"/>
    <sheet name="IPC-01 Infection Prevention and" sheetId="4" state="visible" r:id="rId6"/>
    <sheet name="SG-01 Safeguarding Audit" sheetId="5" state="visible" r:id="rId7"/>
    <sheet name="CMP-01 Complaints Handling Audi" sheetId="6" state="visible" r:id="rId8"/>
    <sheet name="FIN-01 Financial Protection Aud" sheetId="7" state="visible" r:id="rId9"/>
    <sheet name="LW-01 Lone Worker Audit" sheetId="8" state="visible" r:id="rId10"/>
    <sheet name="ENV-01 Environmental Safety Aud" sheetId="9" state="visible" r:id="rId11"/>
    <sheet name="REC-01 Record-Keeping and Data " sheetId="10" state="visible" r:id="rId12"/>
    <sheet name="TRG-01 Training and Competency "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<sst xmlns="http://schemas.openxmlformats.org/spreadsheetml/2006/main" count="1565" uniqueCount="998">
  <si>
    <t xml:space="preserve">Liberty Living Homecare — Audit Working Pack</t>
  </si>
  <si>
    <t xml:space="preserve">10 inspection-grade audit pro formas, one tab each. Issued by CEO Shauna Delaney, May 2026.</t>
  </si>
  <si>
    <t xml:space="preserve">  How to use</t>
  </si>
  <si>
    <t xml:space="preserve">• Each tab is a single audit. Open the tab, complete the header (auditor, dates, sample), then score each criterion 0 / 1 / 2 / N/A.</t>
  </si>
  <si>
    <t xml:space="preserve">• Weighted scoring is automatic. The overall audit compliance % calculates as you complete the scores.</t>
  </si>
  <si>
    <t xml:space="preserve">• Findings rating (Compliant / Substantially / Partially / Non-compliant) is set automatically against the % thresholds.</t>
  </si>
  <si>
    <t xml:space="preserve">• Record evidence and observations in the wide column next to each criterion. Then complete the recommendations and action plan.</t>
  </si>
  <si>
    <t xml:space="preserve">• Sign off at the bottom. Lift any actions into the QIP Register in the QMS Implementation Tracker.</t>
  </si>
  <si>
    <t xml:space="preserve">Audit summary register</t>
  </si>
  <si>
    <t xml:space="preserve">Code</t>
  </si>
  <si>
    <t xml:space="preserve">Audit</t>
  </si>
  <si>
    <t xml:space="preserve">Source policies</t>
  </si>
  <si>
    <t xml:space="preserve">Owner</t>
  </si>
  <si>
    <t xml:space="preserve">Frequency</t>
  </si>
  <si>
    <t xml:space="preserve">Last audit</t>
  </si>
  <si>
    <t xml:space="preserve">Compliance %</t>
  </si>
  <si>
    <t xml:space="preserve">Rating</t>
  </si>
  <si>
    <t xml:space="preserve">AUD-CP-01</t>
  </si>
  <si>
    <t xml:space="preserve">Care Plan Audit</t>
  </si>
  <si>
    <t xml:space="preserve">CARE-08, CARE-27, CARE-02, IM-30</t>
  </si>
  <si>
    <t xml:space="preserve">Quality Lead (Clinical Lead is the operational owner of Home Support Care Plans per CARE-08 s.5.3; the Director of Quality / Quality Lead conducts the independent audit)</t>
  </si>
  <si>
    <t xml:space="preserve">Annual full-cycle audit, supplemented by quarterly thematic dip-sampling and a bi-annual audit by the Clinical Lead per IM-30 s.9.1</t>
  </si>
  <si>
    <t xml:space="preserve">AUD-MED-01</t>
  </si>
  <si>
    <t xml:space="preserve">Medication Prompting Audit</t>
  </si>
  <si>
    <t xml:space="preserve">CARE-20, CARE-06</t>
  </si>
  <si>
    <t xml:space="preserve">Clinical Lead (operational accountability per CARE-20 s.11.1) with independent verification by Director of Quality</t>
  </si>
  <si>
    <t xml:space="preserve">Bi-annual full audit, with quarterly KPI review on adverse drug reactions and missed-dose logs</t>
  </si>
  <si>
    <t xml:space="preserve">AUD-IPC-01</t>
  </si>
  <si>
    <t xml:space="preserve">Infection Prevention and Control Audit</t>
  </si>
  <si>
    <t xml:space="preserve">HS-15, HS-34</t>
  </si>
  <si>
    <t xml:space="preserve">Clinical Lead (IPC lead role per HS-15 s.5.2) with independent verification by Director of Quality</t>
  </si>
  <si>
    <t xml:space="preserve">Annual full audit, supplemented by quarterly hand-hygiene compliance observation and any outbreak-triggered audits</t>
  </si>
  <si>
    <t xml:space="preserve">AUD-SG-01</t>
  </si>
  <si>
    <t xml:space="preserve">Safeguarding Audit</t>
  </si>
  <si>
    <t xml:space="preserve">HS-23, HS-23.1, HS-28, CARE-09, CARE-17</t>
  </si>
  <si>
    <t xml:space="preserve">Designated Safeguarding Officer (DSO) leads with independent verification by Director of Quality. The DSO is the operational lead per HS-23.1 s.5.4.</t>
  </si>
  <si>
    <t xml:space="preserve">Annual full audit, plus quarterly thematic review of all safeguarding alerts and preliminary screenings, plus immediate review following any Trust in Care event involving a staff member</t>
  </si>
  <si>
    <t xml:space="preserve">AUD-CMP-01</t>
  </si>
  <si>
    <t xml:space="preserve">Complaints Handling Audit</t>
  </si>
  <si>
    <t xml:space="preserve">QA-03, QA-03.2, QA-SOP-CMP-01</t>
  </si>
  <si>
    <t xml:space="preserve">Complaints Review Officer (per QA-03 s.5.5) with independent oversight by Director of Quality</t>
  </si>
  <si>
    <t xml:space="preserve">Annual full audit, plus quarterly KPI review aligned to QA-03 s.15.0 Quarterly Report to the HSE</t>
  </si>
  <si>
    <t xml:space="preserve">AUD-FIN-01</t>
  </si>
  <si>
    <t xml:space="preserve">Financial Protection Audit</t>
  </si>
  <si>
    <t xml:space="preserve">CARE-09, CARE-17</t>
  </si>
  <si>
    <t xml:space="preserve">Director of Care (per CARE-09 s.5.4 and CARE-17 s.5.0) with independent verification by Director of Quality. The Director of Care holds quarterly audit responsibility per CARE-17 s.8.10.</t>
  </si>
  <si>
    <t xml:space="preserve">Quarterly audit of Financial Transactions records (mandated by CARE-17 s.8.10); annual full audit covering all controls</t>
  </si>
  <si>
    <t xml:space="preserve">AUD-LW-01</t>
  </si>
  <si>
    <t xml:space="preserve">Lone Worker Audit</t>
  </si>
  <si>
    <t xml:space="preserve">HS-16, HS-10</t>
  </si>
  <si>
    <t xml:space="preserve">Director of Operations (per HS-16 s.5.4) with independent verification by Director of Quality</t>
  </si>
  <si>
    <t xml:space="preserve">Annual full audit, plus quarterly review of lone-working incidents, missed control-point contacts, and aggression incidents</t>
  </si>
  <si>
    <t xml:space="preserve">AUD-ENV-01</t>
  </si>
  <si>
    <t xml:space="preserve">Environmental Safety Audit</t>
  </si>
  <si>
    <t xml:space="preserve">HS-24, HS-10, HS-31</t>
  </si>
  <si>
    <t xml:space="preserve">Director of Operations (per HS-24 s.4.5) with verification by Director of Quality</t>
  </si>
  <si>
    <t xml:space="preserve">Annual full audit, plus quarterly review of new Home Environmental Risk Assessments and any environment-related incidents</t>
  </si>
  <si>
    <t xml:space="preserve">AUD-REC-01</t>
  </si>
  <si>
    <t xml:space="preserve">Record-Keeping and Data Audit</t>
  </si>
  <si>
    <t xml:space="preserve">IM-30, IM-05</t>
  </si>
  <si>
    <t xml:space="preserve">Director of Quality (per IM-30 s.9.2) with the Data Protection Officer (DPO) auditing GDPR compliance per IM-05</t>
  </si>
  <si>
    <t xml:space="preserve">Quarterly record-quality audit (per IM-30 s.9.2) and bi-annual Home Support Plan audit by Clinical Lead (per IM-30 s.9.1); annual full GDPR / Data Protection audit</t>
  </si>
  <si>
    <t xml:space="preserve">AUD-TRG-01</t>
  </si>
  <si>
    <t xml:space="preserve">Training and Competency Audit</t>
  </si>
  <si>
    <t xml:space="preserve">HR-14, HR-29, HR-38</t>
  </si>
  <si>
    <t xml:space="preserve">Director of Operations / HR Director jointly (HR-14 s.5.5 / s.5.6) with independent verification by Director of Quality</t>
  </si>
  <si>
    <t xml:space="preserve">Annual full audit, plus quarterly review of the training matrix for currency and gaps</t>
  </si>
  <si>
    <t xml:space="preserve">  AUD-CP-01  ·  Care Plan Audit</t>
  </si>
  <si>
    <t xml:space="preserve">Audit code</t>
  </si>
  <si>
    <t xml:space="preserve">Title</t>
  </si>
  <si>
    <t xml:space="preserve">Auditor name</t>
  </si>
  <si>
    <t xml:space="preserve">[enter auditor name]</t>
  </si>
  <si>
    <t xml:space="preserve">Audit period</t>
  </si>
  <si>
    <t xml:space="preserve">[enter audit period]</t>
  </si>
  <si>
    <t xml:space="preserve">Sample size</t>
  </si>
  <si>
    <t xml:space="preserve">[enter sample size]</t>
  </si>
  <si>
    <t xml:space="preserve">  SCOPE &amp; SAMPLING METHODOLOGY</t>
  </si>
  <si>
    <t xml:space="preserve">Scope</t>
  </si>
  <si>
    <t xml:space="preserve">All Service User Home Support Care Plans active at any point in the audit period, including HSE-authorised packages and private packages. Plans for discharged Service Users within the period are included for closure/transition criteria.</t>
  </si>
  <si>
    <t xml:space="preserve">Sampling</t>
  </si>
  <si>
    <t xml:space="preserve">Stratified random sample drawn from the active Service User CRM list. Sample size: minimum 15% of active plans or 40 plans, whichever is greater (HSE Authorisation Scheme expectation). Stratification: by Client Services Manager area (proportional), and by complexity tier (standard / complex / dementia / palliative). Risk-weighting overlay: 100% of plans where an incident, complaint or safeguarding concern was recorded in the period are pulled in addition. Exclusions: plans created within 7 days of audit cut-off (insufficient data). Period covered: rolling 12 months ending audit cut-off date. Sampling frame and seed are recorded in the audit working pack for reproducibility.</t>
  </si>
  <si>
    <t xml:space="preserve">Data sources</t>
  </si>
  <si>
    <t xml:space="preserve">• Service User CRM records
• Hard-copy / signed Home Support Care Plans in the Service User Home Folder (CARE-08 Appendix 4)
• Service User Internal Folder (CARE-08 Appendix 5)
• Signed Charter of Rights and Responsibilities (CARE-02)
• Signed Consent to Share (CARE-08 Appendix 14)
• Initial Assessment records (CARE-08 Appendix 1, 2)
• Environmental Risk Assessment (CARE-08 Appendix 8)
• Falls Risk Assessment (CARE-08 Appendix 9)
• Medication Risk Assessment (CARE-08 Appendix 10)
• Home Care Record sheets (CARE-08 Appendix 13)
• Client Review records (CARE-08 Appendix 12)
• HSE Authorisation Scheme service authorisation documents
• Getting to Know Me document (CARE-08 Appendix 7)</t>
  </si>
  <si>
    <t xml:space="preserve">  SCORING SCHEME</t>
  </si>
  <si>
    <t xml:space="preserve">0 = Non-compliant   ·   1 = Partially compliant   ·   2 = Fully compliant   ·   N/A = Not applicable.  Weighted score = score × weight.  Audit compliance % = sum of weighted scores ÷ (sum of maximum weighted scores, excluding N/A).</t>
  </si>
  <si>
    <t xml:space="preserve">  AUDIT CRITERIA</t>
  </si>
  <si>
    <t xml:space="preserve">ID</t>
  </si>
  <si>
    <t xml:space="preserve">Criterion</t>
  </si>
  <si>
    <t xml:space="preserve">Policy ref</t>
  </si>
  <si>
    <t xml:space="preserve">Weight</t>
  </si>
  <si>
    <t xml:space="preserve">Score (0/1/2/N/A)</t>
  </si>
  <si>
    <t xml:space="preserve">Weighted score</t>
  </si>
  <si>
    <t xml:space="preserve">Evidence / observations</t>
  </si>
  <si>
    <t xml:space="preserve">Comments</t>
  </si>
  <si>
    <t xml:space="preserve">CP-01</t>
  </si>
  <si>
    <t xml:space="preserve">A current Home Support Care Plan exists for every sampled Service User receiving services</t>
  </si>
  <si>
    <t xml:space="preserve">CARE-08 s.6.13</t>
  </si>
  <si>
    <t xml:space="preserve">• Locate plan in CRM and physical folder
• Confirm date of creation precedes first service date</t>
  </si>
  <si>
    <t xml:space="preserve">CP-02</t>
  </si>
  <si>
    <t xml:space="preserve">Plan was developed following an Initial Assessment conducted by a competent assessor (Client Services Manager or Clinical Lead)</t>
  </si>
  <si>
    <t xml:space="preserve">CARE-08 s.6.4 / s.6.6</t>
  </si>
  <si>
    <t xml:space="preserve">• Assessor named and signature present
• Assessor role/qualification recorded</t>
  </si>
  <si>
    <t xml:space="preserve">CP-03</t>
  </si>
  <si>
    <t xml:space="preserve">Plan was developed and signed off within the timeframe required before service commencement</t>
  </si>
  <si>
    <t xml:space="preserve">• Compare plan agreement date to first visit date
• Identify any service delivered without an agreed plan</t>
  </si>
  <si>
    <t xml:space="preserve">CP-04</t>
  </si>
  <si>
    <t xml:space="preserve">Plan content covers all CARE-08 minimum domains (personal care, mobility, nutrition, medication, social, communication, end-of-life preferences as applicable)</t>
  </si>
  <si>
    <t xml:space="preserve">CARE-08 s.6.6 / s.7.0</t>
  </si>
  <si>
    <t xml:space="preserve">• Tick against domain checklist in working paper
• Note any blank/N/A entries without rationale</t>
  </si>
  <si>
    <t xml:space="preserve">CP-05</t>
  </si>
  <si>
    <t xml:space="preserve">Service User preferences, will, cultural and religious practices are documented and reflected in the plan</t>
  </si>
  <si>
    <t xml:space="preserve">CARE-02 (FREDA); CARE-27 s.7.4</t>
  </si>
  <si>
    <t xml:space="preserve">• Cross-reference Getting to Know Me document
• Look for narrative entries not just tick-boxes</t>
  </si>
  <si>
    <t xml:space="preserve">CP-06</t>
  </si>
  <si>
    <t xml:space="preserve">Service User signature (or recorded consent if signature not possible) is present on the plan and on the Charter of Rights and Responsibilities</t>
  </si>
  <si>
    <t xml:space="preserve">CARE-08 s.7.13; CARE-02</t>
  </si>
  <si>
    <t xml:space="preserve">• Signature or recorded verbal consent with witness
• Date of signature matches plan agreement date</t>
  </si>
  <si>
    <t xml:space="preserve">CP-07</t>
  </si>
  <si>
    <t xml:space="preserve">Where the Service User has a Decision Support Arrangement, AHD or EPA, this is identified in the plan and respected in care decisions</t>
  </si>
  <si>
    <t xml:space="preserve">CARE-08 s.7.11</t>
  </si>
  <si>
    <t xml:space="preserve">• Look for DSA/AHD/EPA entry on cover sheet
• Confirm representative contact details captured</t>
  </si>
  <si>
    <t xml:space="preserve">CP-08</t>
  </si>
  <si>
    <t xml:space="preserve">Plan content remains within the scope of the authorised HSE Home Support Service for the Service User</t>
  </si>
  <si>
    <t xml:space="preserve">CARE-08 s.7.1</t>
  </si>
  <si>
    <t xml:space="preserve">• Compare planned tasks against HSE authorisation hours and task list
• Flag any tasks outside scope</t>
  </si>
  <si>
    <t xml:space="preserve">CP-09</t>
  </si>
  <si>
    <t xml:space="preserve">Risk assessments (environmental, falls, medication, lone worker) are completed and dated, with control measures in the plan</t>
  </si>
  <si>
    <t xml:space="preserve">CARE-08 s.7.8 / s.7.9; HS-31; HS-16</t>
  </si>
  <si>
    <t xml:space="preserve">• All four assessments present
• Control measures cross-referenced in care tasks</t>
  </si>
  <si>
    <t xml:space="preserve">CP-10</t>
  </si>
  <si>
    <t xml:space="preserve">Plan was reviewed at least every 3 months, or sooner following a change in need or incident</t>
  </si>
  <si>
    <t xml:space="preserve">CARE-08 s.10.0; IM-30 s.9.1</t>
  </si>
  <si>
    <t xml:space="preserve">• Review log present
• Trigger-based reviews evident after recorded incidents</t>
  </si>
  <si>
    <t xml:space="preserve">CP-11</t>
  </si>
  <si>
    <t xml:space="preserve">Review records show evidence of Service User involvement in the review</t>
  </si>
  <si>
    <t xml:space="preserve">CARE-27 s.7.4</t>
  </si>
  <si>
    <t xml:space="preserve">• SU comments recorded
• SU signature on review</t>
  </si>
  <si>
    <t xml:space="preserve">CP-12</t>
  </si>
  <si>
    <t xml:space="preserve">Plan version control is in place - superseded versions retained, current version clearly marked</t>
  </si>
  <si>
    <t xml:space="preserve">IM-30 s.6.7</t>
  </si>
  <si>
    <t xml:space="preserve">• Version number on each page
• Superseded versions retrievable</t>
  </si>
  <si>
    <t xml:space="preserve">CP-13</t>
  </si>
  <si>
    <t xml:space="preserve">Refusal of care events are documented, escalated to Client Services Manager, and the plan updated as needed</t>
  </si>
  <si>
    <t xml:space="preserve">CARE-08 s.9.0</t>
  </si>
  <si>
    <t xml:space="preserve">• Refusal entries in Home Care Record
• Escalation note in CRM</t>
  </si>
  <si>
    <t xml:space="preserve">CP-14</t>
  </si>
  <si>
    <t xml:space="preserve">Where capacity concerns arose, they were escalated and a functional capacity assessment was sought (Clinical Lead reviewed outcomes)</t>
  </si>
  <si>
    <t xml:space="preserve">CARE-06 s.6.7</t>
  </si>
  <si>
    <t xml:space="preserve">• Capacity concern log entry
• Clinical Lead sign-off</t>
  </si>
  <si>
    <t xml:space="preserve">CP-15</t>
  </si>
  <si>
    <t xml:space="preserve">A copy of the agreed plan is held in the Service User home folder and is the same version as the one in the office record</t>
  </si>
  <si>
    <t xml:space="preserve">IM-30 s.6.6</t>
  </si>
  <si>
    <t xml:space="preserve">• Spot-check home folder copy if accessible
• Compare version numbers</t>
  </si>
  <si>
    <t xml:space="preserve">CP-16</t>
  </si>
  <si>
    <t xml:space="preserve">Home Care Record sheets are completed for every scheduled visit and reflect the tasks in the plan</t>
  </si>
  <si>
    <t xml:space="preserve">CARE-08 s.7.14; IM-30 s.9.4</t>
  </si>
  <si>
    <t xml:space="preserve">• Sample 1 month of visits
• Compare logged tasks against plan</t>
  </si>
  <si>
    <t xml:space="preserve">CP-17</t>
  </si>
  <si>
    <t xml:space="preserve">End-of-life / palliative preferences are recorded where relevant and reviewed periodically</t>
  </si>
  <si>
    <t xml:space="preserve">CARE-08 s.7.7</t>
  </si>
  <si>
    <t xml:space="preserve">• EOL section completed or rationale for N/A
• Last review date within 6 months</t>
  </si>
  <si>
    <t xml:space="preserve">CP-18</t>
  </si>
  <si>
    <t xml:space="preserve">Communication needs are identified and supported (e.g. plain English, large print, advocate involvement)</t>
  </si>
  <si>
    <t xml:space="preserve">CARE-27 s.7.7 / s.7.8</t>
  </si>
  <si>
    <t xml:space="preserve">• Communication needs field completed
• Adapted formats evidenced if needed</t>
  </si>
  <si>
    <t xml:space="preserve">CP-19</t>
  </si>
  <si>
    <t xml:space="preserve">Plan documents are legible, dated, signed and free from unexplained gaps, white-out or retrospective alterations</t>
  </si>
  <si>
    <t xml:space="preserve">IM-30 s.7.3 / s.7.5</t>
  </si>
  <si>
    <t xml:space="preserve">• Visual inspection
• Look for late entries flagged appropriately</t>
  </si>
  <si>
    <t xml:space="preserve">CP-20</t>
  </si>
  <si>
    <t xml:space="preserve">Transition / discharge of Service Users is documented with a discharge summary and onward referral where applicable</t>
  </si>
  <si>
    <t xml:space="preserve">CARE-08 s.10.0; HS-23 s.7.12</t>
  </si>
  <si>
    <t xml:space="preserve">• Discharge note in CRM
• Onward referral letter on file</t>
  </si>
  <si>
    <t xml:space="preserve">CP-21</t>
  </si>
  <si>
    <t xml:space="preserve">GDPR consent to share information is signed, current, and limits sharing to documented recipients</t>
  </si>
  <si>
    <t xml:space="preserve">CARE-08 s.14.14; IM-05</t>
  </si>
  <si>
    <t xml:space="preserve">• Signed consent to share form
• Recipients list matches actual sharing</t>
  </si>
  <si>
    <t xml:space="preserve">CP-22</t>
  </si>
  <si>
    <t xml:space="preserve">Where the Service User is private (non-HSE), an equivalent assessment and plan exists</t>
  </si>
  <si>
    <t xml:space="preserve">CARE-08 s.6.14</t>
  </si>
  <si>
    <t xml:space="preserve">• Private package flag in CRM
• Plan structure equivalent to HSE plan</t>
  </si>
  <si>
    <t xml:space="preserve">  COMPLIANCE SUMMARY</t>
  </si>
  <si>
    <t xml:space="preserve">Achieved weighted score</t>
  </si>
  <si>
    <t xml:space="preserve">Max possible (excl N/A)</t>
  </si>
  <si>
    <t xml:space="preserve">Rating thresholds:  Compliant ≥95%   ·   Substantially compliant 85-94.9%   ·   Partially compliant 70-84.9%   ·   Non-compliant &lt;70%</t>
  </si>
  <si>
    <t xml:space="preserve">  KEY FINDINGS</t>
  </si>
  <si>
    <t xml:space="preserve">[Auditor: summarise the main findings — strengths, areas of partial compliance and areas of non-compliance. Reference criterion IDs where relevant.]</t>
  </si>
  <si>
    <t xml:space="preserve">  RECOMMENDATIONS</t>
  </si>
  <si>
    <t xml:space="preserve">[Auditor: list specific, actionable recommendations to address the findings. Each will become a QIP.]</t>
  </si>
  <si>
    <t xml:space="preserve">  ACTION PLAN</t>
  </si>
  <si>
    <t xml:space="preserve">#</t>
  </si>
  <si>
    <t xml:space="preserve">Action</t>
  </si>
  <si>
    <t xml:space="preserve">Target date</t>
  </si>
  <si>
    <t xml:space="preserve">Status</t>
  </si>
  <si>
    <t xml:space="preserve">Linked QIP ID</t>
  </si>
  <si>
    <t xml:space="preserve">Evidence of completion</t>
  </si>
  <si>
    <t xml:space="preserve">Closed date</t>
  </si>
  <si>
    <t xml:space="preserve">  SIGN-OFF</t>
  </si>
  <si>
    <t xml:space="preserve">Role</t>
  </si>
  <si>
    <t xml:space="preserve">Name</t>
  </si>
  <si>
    <t xml:space="preserve">Signature</t>
  </si>
  <si>
    <t xml:space="preserve">Date</t>
  </si>
  <si>
    <t xml:space="preserve">Auditor</t>
  </si>
  <si>
    <t xml:space="preserve">Director of Quality &amp; Compliance</t>
  </si>
  <si>
    <t xml:space="preserve">Sponsoring Director</t>
  </si>
  <si>
    <t xml:space="preserve">Date filed</t>
  </si>
  <si>
    <t xml:space="preserve">  AUD-MED-01  ·  Medication Prompting Audit</t>
  </si>
  <si>
    <t xml:space="preserve">All Service Users for whom Liberty Living provides medication prompting (excluding self-managing Service Users), and all HCAs delivering prompting in the audit period.</t>
  </si>
  <si>
    <t xml:space="preserve">Two parallel samples. (1) Service User sample: 100% of Service Users with a Medication Risk Assessment indicating prompting required, OR a minimum of 30 if the prompting population exceeds 200. Random stratified by Client Services Manager area. (2) Staff competency sample: 20% of HCAs delivering prompting in the period, drawn at random, with 100% inclusion of any HCA who was the subject of a medication-related incident. Period: rolling 6 months. Exclusions: Service Users who self-manage (CARE-20 s.6.1) - they appear only in a separate self-management line-item count.</t>
  </si>
  <si>
    <t xml:space="preserve">• Service User CRM medication section
• Signed Consent to Prompt Medication (CARE-20 Appendix 1)
• Medication Risk Assessment (CARE-08 Appendix 10)
• Home Support Care Plan medication section
• Home Care Record sheets - medication prompting entries
• HCA training records (Medication Management module)
• National Carer Competency Assessment (NCCA) records
• Incident log (QA-13) - medication category
• Adverse Drug Reaction reports
• GP / Pharmacy correspondence on file</t>
  </si>
  <si>
    <t xml:space="preserve">MED-01</t>
  </si>
  <si>
    <t xml:space="preserve">A signed Consent to Prompt Medication form is on file for every Service User receiving prompting</t>
  </si>
  <si>
    <t xml:space="preserve">CARE-20 s.6.4; Appendix 1</t>
  </si>
  <si>
    <t xml:space="preserve">• Locate signed form
• Confirm signed by SU or capacity-appropriate representative</t>
  </si>
  <si>
    <t xml:space="preserve">MED-02</t>
  </si>
  <si>
    <t xml:space="preserve">Consent form is current (signed within last 12 months or following any change to medication regimen)</t>
  </si>
  <si>
    <t xml:space="preserve">CARE-20 s.6.4; CARE-06</t>
  </si>
  <si>
    <t xml:space="preserve">• Check date on consent
• Cross-reference last medication change</t>
  </si>
  <si>
    <t xml:space="preserve">MED-03</t>
  </si>
  <si>
    <t xml:space="preserve">A Medication Risk Assessment is completed and dated, identifying the level and form of prompting required</t>
  </si>
  <si>
    <t xml:space="preserve">CARE-20 s.6.3</t>
  </si>
  <si>
    <t xml:space="preserve">• Assessment present
• Risk level recorded</t>
  </si>
  <si>
    <t xml:space="preserve">MED-04</t>
  </si>
  <si>
    <t xml:space="preserve">Medication list in the plan matches the current prescription / pharmacy MAR sheet</t>
  </si>
  <si>
    <t xml:space="preserve">CARE-20 s.7.0</t>
  </si>
  <si>
    <t xml:space="preserve">• Compare plan list to MAR / blister-pack labels
• Note discrepancies</t>
  </si>
  <si>
    <t xml:space="preserve">MED-05</t>
  </si>
  <si>
    <t xml:space="preserve">Plan clearly limits HCA activity to prompting only - no administration, no removal from packaging</t>
  </si>
  <si>
    <t xml:space="preserve">CARE-20 s.7.2 / s.7.4</t>
  </si>
  <si>
    <t xml:space="preserve">• Wording explicit
• No tasks like administer or dispense present</t>
  </si>
  <si>
    <t xml:space="preserve">MED-06</t>
  </si>
  <si>
    <t xml:space="preserve">HCAs delivering prompting hold current Medication Management training and NCCA sign-off</t>
  </si>
  <si>
    <t xml:space="preserve">CARE-20 s.7.1; HR-14</t>
  </si>
  <si>
    <t xml:space="preserve">• Training cert date
• NCCA on staff file</t>
  </si>
  <si>
    <t xml:space="preserve">MED-07</t>
  </si>
  <si>
    <t xml:space="preserve">Every prompting episode is logged in the Home Care Record / CRM (date, time, prompt outcome)</t>
  </si>
  <si>
    <t xml:space="preserve">CARE-20 s.8.1 / s.8.2</t>
  </si>
  <si>
    <t xml:space="preserve">• Sample one month of visits
• Look for missed log entries</t>
  </si>
  <si>
    <t xml:space="preserve">MED-08</t>
  </si>
  <si>
    <t xml:space="preserve">Missed doses or Service User refusals are recorded and escalated to the Client Services Manager</t>
  </si>
  <si>
    <t xml:space="preserve">CARE-20 s.7.7</t>
  </si>
  <si>
    <t xml:space="preserve">• Refusal log entries
• Escalation evidence</t>
  </si>
  <si>
    <t xml:space="preserve">MED-09</t>
  </si>
  <si>
    <t xml:space="preserve">Adverse Drug Reactions are managed per CARE-20 s.9.0 and reported as incidents per QA-13</t>
  </si>
  <si>
    <t xml:space="preserve">CARE-20 s.9.1 / s.9.2</t>
  </si>
  <si>
    <t xml:space="preserve">• ADR log entries
• Linked QA-13 incident reports</t>
  </si>
  <si>
    <t xml:space="preserve">MED-10</t>
  </si>
  <si>
    <t xml:space="preserve">Where capacity concerns arise in relation to medication, they are escalated per CARE-06</t>
  </si>
  <si>
    <t xml:space="preserve">CARE-20 s.7.8</t>
  </si>
  <si>
    <t xml:space="preserve">• Capacity flag in CRM
• Clinical Lead review</t>
  </si>
  <si>
    <t xml:space="preserve">MED-11</t>
  </si>
  <si>
    <t xml:space="preserve">Obtaining prescriptions is not a routine HCA task, and where it occurs it is explicitly authorised in the plan</t>
  </si>
  <si>
    <t xml:space="preserve">CARE-20 s.6.5 / s.6.6</t>
  </si>
  <si>
    <t xml:space="preserve">• Plan entry authorising collection
• Audit trail of collection</t>
  </si>
  <si>
    <t xml:space="preserve">MED-12</t>
  </si>
  <si>
    <t xml:space="preserve">Medication-related entries follow good record-keeping practice - legible, dated, signed, no retrospective alteration</t>
  </si>
  <si>
    <t xml:space="preserve">IM-30 s.7.5</t>
  </si>
  <si>
    <t xml:space="preserve">• Visual inspection
• Late entries appropriately flagged</t>
  </si>
  <si>
    <t xml:space="preserve">MED-13</t>
  </si>
  <si>
    <t xml:space="preserve">Quarterly review of medication prompting effectiveness has been completed by the Clinical Lead</t>
  </si>
  <si>
    <t xml:space="preserve">CARE-20 s.11.1</t>
  </si>
  <si>
    <t xml:space="preserve">• Review report on file
• Trends and actions documented</t>
  </si>
  <si>
    <t xml:space="preserve">MED-14</t>
  </si>
  <si>
    <t xml:space="preserve">Service Users who self-manage are clearly identified as such and not subject to prompting tasks in the plan</t>
  </si>
  <si>
    <t xml:space="preserve">CARE-20 s.6.1 / s.6.2</t>
  </si>
  <si>
    <t xml:space="preserve">• Self-management flag
• No prompt tasks scheduled</t>
  </si>
  <si>
    <t xml:space="preserve">MED-15</t>
  </si>
  <si>
    <t xml:space="preserve">Plan reflects timing windows for time-critical medications where applicable (e.g. Parkinsons, insulin proximity)</t>
  </si>
  <si>
    <t xml:space="preserve">CARE-20 s.7.5</t>
  </si>
  <si>
    <t xml:space="preserve">• Timing notes in plan
• Visit schedule supports timing</t>
  </si>
  <si>
    <t xml:space="preserve">MED-16</t>
  </si>
  <si>
    <t xml:space="preserve">Where medication concerns lead to suspected safeguarding (e.g. coercion, neglect), they are escalated to the DSO</t>
  </si>
  <si>
    <t xml:space="preserve">CARE-20 s.7.9; HS-23</t>
  </si>
  <si>
    <t xml:space="preserve">• Safeguarding referral log
• DSO acknowledgement</t>
  </si>
  <si>
    <t xml:space="preserve">MED-17</t>
  </si>
  <si>
    <t xml:space="preserve">Training records show all relevant staff completed the annual medication refresher</t>
  </si>
  <si>
    <t xml:space="preserve">CARE-20 s.10.1 / s.10.2</t>
  </si>
  <si>
    <t xml:space="preserve">• Training matrix
• Refresher completion within 12 months</t>
  </si>
  <si>
    <t xml:space="preserve">MED-18</t>
  </si>
  <si>
    <t xml:space="preserve">Medication storage observations (where prompting requires accessing a Service User medication area) are recorded as part of environmental risk</t>
  </si>
  <si>
    <t xml:space="preserve">CARE-20 s.7.0; HS-24</t>
  </si>
  <si>
    <t xml:space="preserve">• ERA medication note
• Hazard flag if storage unsafe</t>
  </si>
  <si>
    <t xml:space="preserve">MED-19</t>
  </si>
  <si>
    <t xml:space="preserve">Pharmacy / GP contact details are recorded and current for every prompting Service User</t>
  </si>
  <si>
    <t xml:space="preserve">• GP/Pharmacy field populated
• Last verified date</t>
  </si>
  <si>
    <t xml:space="preserve">MED-20</t>
  </si>
  <si>
    <t xml:space="preserve">Confidentiality is maintained - medication information is not shared with third parties without consent</t>
  </si>
  <si>
    <t xml:space="preserve">CARE-20 s.7.3 / s.8.1</t>
  </si>
  <si>
    <t xml:space="preserve">• Consent to share scope
• No unauthorised disclosures evident</t>
  </si>
  <si>
    <t xml:space="preserve">  AUD-IPC-01  ·  Infection Prevention and Control Audit</t>
  </si>
  <si>
    <t xml:space="preserve">All operational areas of Liberty Living including office hubs, HCA practice in Service Users homes, PPE stock and distribution, the annual IPC Programme, and any current or recent outbreaks. Excludes Service User home environments outside the scope of Liberty Living-delivered care.</t>
  </si>
  <si>
    <t xml:space="preserve">Mixed methodology. (1) Document review - 100% of the IPC Programme, outbreak management plan, and PPE stock records. (2) Staff observation - direct observation of hand hygiene at five WHO moments for a random sample of 25 visits across HCAs (or 10% of the workforce, whichever is greater), conducted by the Clinical Lead or trained observer. (3) Staff knowledge check - short quiz with 30 randomly selected HCAs. (4) Service User home sample - 30 environmental risk assessments reviewed for IPC content. (5) Vaccination uptake - 100% review of the vaccination register. Period: rolling 12 months.</t>
  </si>
  <si>
    <t xml:space="preserve">• IPC Programme document (HS-15 s.7.1)
• Outbreak Management Plan (HS-15 s.6.4)
• PPE stock and distribution log
• Staff vaccination register (Hep B, flu, COVID, others per NIAC)
• Hand hygiene observation tool (WHO Five Moments)
• Home Environmental Risk Assessment - IPC sections
• Incident log - infection-related events
• Training records - IPC and Hand Hygiene modules
• HS-34 Hand Hygiene policy compliance evidence
• Service User reports / complaints relating to IPC</t>
  </si>
  <si>
    <t xml:space="preserve">IPC-01</t>
  </si>
  <si>
    <t xml:space="preserve">An annual IPC Programme exists, is signed off by CEO, and covers all elements required by HS-15 s.7.2</t>
  </si>
  <si>
    <t xml:space="preserve">HS-15 s.7.1 / s.7.3</t>
  </si>
  <si>
    <t xml:space="preserve">• Locate signed Programme
• Tick HS-15 s.7.2 elements</t>
  </si>
  <si>
    <t xml:space="preserve">IPC-02</t>
  </si>
  <si>
    <t xml:space="preserve">The IPC Programme has been reviewed in the last 12 months</t>
  </si>
  <si>
    <t xml:space="preserve">HS-15 s.7.4</t>
  </si>
  <si>
    <t xml:space="preserve">• Last review date
• Review minutes</t>
  </si>
  <si>
    <t xml:space="preserve">IPC-03</t>
  </si>
  <si>
    <t xml:space="preserve">An Outbreak Management Plan is in place and accessible to operational staff</t>
  </si>
  <si>
    <t xml:space="preserve">HS-15 s.6.4</t>
  </si>
  <si>
    <t xml:space="preserve">• Locate plan
• Confirm last test/drill date</t>
  </si>
  <si>
    <t xml:space="preserve">IPC-04</t>
  </si>
  <si>
    <t xml:space="preserve">Sufficient numbers of staff are trained in IPC at all times to deliver the service safely</t>
  </si>
  <si>
    <t xml:space="preserve">HS-15 s.6.2</t>
  </si>
  <si>
    <t xml:space="preserve">• Training matrix coverage
• Roster cross-check</t>
  </si>
  <si>
    <t xml:space="preserve">IPC-05</t>
  </si>
  <si>
    <t xml:space="preserve">Staff vaccination register is maintained and offers documented per NIAC guidance</t>
  </si>
  <si>
    <t xml:space="preserve">HS-15 s.8.2 / s.8.4</t>
  </si>
  <si>
    <t xml:space="preserve">• Register completeness
• Offer/refusal documented per staff</t>
  </si>
  <si>
    <t xml:space="preserve">IPC-06</t>
  </si>
  <si>
    <t xml:space="preserve">Where staff declined vaccination, the risks were communicated and recorded</t>
  </si>
  <si>
    <t xml:space="preserve">HS-15 s.8.6 / s.8.7</t>
  </si>
  <si>
    <t xml:space="preserve">• Refusal record
• Risk communication note</t>
  </si>
  <si>
    <t xml:space="preserve">IPC-07</t>
  </si>
  <si>
    <t xml:space="preserve">Hand hygiene compliance against WHO Five Moments at observed visits is &gt;=85%</t>
  </si>
  <si>
    <t xml:space="preserve">HS-15 s.9.4; HS-34 s.5</t>
  </si>
  <si>
    <t xml:space="preserve">• Observation audit results
• Sample of 25 observations</t>
  </si>
  <si>
    <t xml:space="preserve">IPC-08</t>
  </si>
  <si>
    <t xml:space="preserve">HCAs demonstrate correct hand washing technique per HS-34 s.6.1</t>
  </si>
  <si>
    <t xml:space="preserve">HS-34 s.6.1</t>
  </si>
  <si>
    <t xml:space="preserve">• Direct observation
• Knowledge check question</t>
  </si>
  <si>
    <t xml:space="preserve">IPC-09</t>
  </si>
  <si>
    <t xml:space="preserve">HCAs demonstrate correct use of alcohol-based hand rub per HS-34 s.6.2</t>
  </si>
  <si>
    <t xml:space="preserve">HS-34 s.6.2</t>
  </si>
  <si>
    <t xml:space="preserve">IPC-10</t>
  </si>
  <si>
    <t xml:space="preserve">Gloves are used correctly - right indication, single-use, removed before leaving the home</t>
  </si>
  <si>
    <t xml:space="preserve">HS-34 s.7</t>
  </si>
  <si>
    <t xml:space="preserve">• Direct observation
• Staff knowledge check</t>
  </si>
  <si>
    <t xml:space="preserve">IPC-11</t>
  </si>
  <si>
    <t xml:space="preserve">PPE stock is sufficient, in-date, and accessible to all HCAs at start of each shift</t>
  </si>
  <si>
    <t xml:space="preserve">HS-15 s.9.0</t>
  </si>
  <si>
    <t xml:space="preserve">• Stock count
• Expiry inspection
• Distribution log</t>
  </si>
  <si>
    <t xml:space="preserve">IPC-12</t>
  </si>
  <si>
    <t xml:space="preserve">Standard precautions are documented in plans where Service User condition requires (e.g. catheter, wound care, MRSA colonisation)</t>
  </si>
  <si>
    <t xml:space="preserve">HS-15 s.9.1 / s.9.7</t>
  </si>
  <si>
    <t xml:space="preserve">• Plan entries reviewed
• Risk-specific precautions noted</t>
  </si>
  <si>
    <t xml:space="preserve">IPC-13</t>
  </si>
  <si>
    <t xml:space="preserve">Home Environmental Risk Assessment includes IPC-relevant elements (handwashing facilities, waste, pet hygiene)</t>
  </si>
  <si>
    <t xml:space="preserve">HS-15 s.9.2; HS-24</t>
  </si>
  <si>
    <t xml:space="preserve">• ERA reviewed
• IPC section completed</t>
  </si>
  <si>
    <t xml:space="preserve">IPC-14</t>
  </si>
  <si>
    <t xml:space="preserve">Blood / bodily fluid exposure incidents are recorded as QA-13 incidents and followed up clinically</t>
  </si>
  <si>
    <t xml:space="preserve">HS-15 s.9.7; QA-13</t>
  </si>
  <si>
    <t xml:space="preserve">• Incident log cross-check
• Occupational health follow-up</t>
  </si>
  <si>
    <t xml:space="preserve">IPC-15</t>
  </si>
  <si>
    <t xml:space="preserve">All operational staff completed mandatory IPC training in the last 12 months</t>
  </si>
  <si>
    <t xml:space="preserve">HS-15 / HS-34 s.8</t>
  </si>
  <si>
    <t xml:space="preserve">• Training matrix
• Renewal evidence</t>
  </si>
  <si>
    <t xml:space="preserve">IPC-16</t>
  </si>
  <si>
    <t xml:space="preserve">All operational staff completed Hand Hygiene training (HSE Online or equivalent)</t>
  </si>
  <si>
    <t xml:space="preserve">HS-34 s.8</t>
  </si>
  <si>
    <t xml:space="preserve">• Training certificate on file
• Completed in last 12 months</t>
  </si>
  <si>
    <t xml:space="preserve">IPC-17</t>
  </si>
  <si>
    <t xml:space="preserve">IPC incidents are trended monthly by the Director of Quality and reported to EMT</t>
  </si>
  <si>
    <t xml:space="preserve">HS-15 monitoring requirement</t>
  </si>
  <si>
    <t xml:space="preserve">• EMT minutes
• Trend report</t>
  </si>
  <si>
    <t xml:space="preserve">IPC-18</t>
  </si>
  <si>
    <t xml:space="preserve">Recent outbreak (if any) was managed per the Outbreak Management Plan with documented timeline</t>
  </si>
  <si>
    <t xml:space="preserve">• Outbreak file
• Lessons learned record</t>
  </si>
  <si>
    <t xml:space="preserve">IPC-19</t>
  </si>
  <si>
    <t xml:space="preserve">Cleaning of shared equipment (e.g. moving and handling devices) between Service Users is documented</t>
  </si>
  <si>
    <t xml:space="preserve">• Equipment log
• Decontamination wipes/process</t>
  </si>
  <si>
    <t xml:space="preserve">IPC-20</t>
  </si>
  <si>
    <t xml:space="preserve">Staff knowledge check on standard precautions averages &gt;=80% across the sample</t>
  </si>
  <si>
    <t xml:space="preserve">HS-15 s.9.5</t>
  </si>
  <si>
    <t xml:space="preserve">• Quiz results
• Action plan for any failures</t>
  </si>
  <si>
    <t xml:space="preserve">IPC-21</t>
  </si>
  <si>
    <t xml:space="preserve">IPC concerns identified by staff are escalated and resolved with documented action</t>
  </si>
  <si>
    <t xml:space="preserve">HS-15 s.5.1</t>
  </si>
  <si>
    <t xml:space="preserve">• Concern log
• Closure evidence</t>
  </si>
  <si>
    <t xml:space="preserve">  AUD-SG-01  ·  Safeguarding Audit</t>
  </si>
  <si>
    <t xml:space="preserve">All safeguarding alerts, preliminary screenings, Trust in Care matters, financial protection records, and child welfare concerns raised or open in the audit period. Includes the Garda vetting register and the safeguarding training matrix.</t>
  </si>
  <si>
    <t xml:space="preserve">100% review of all safeguarding alerts (typically a tractable volume in a 140-staff / 400-SU service). For prevention controls (vetting, training, environmental safeguards): 100% of staff records for vetting status and safeguarding training, plus a stratified 15% sample of Service User files for individual safeguarding risk assessment quality. Period: rolling 12 months. The audit is conducted by the Director of Quality independently of the DSO to ensure independent assurance. Any case where the DSO is conflicted is reviewed by an external safeguarding peer reviewer.</t>
  </si>
  <si>
    <t xml:space="preserve">• Safeguarding alerts log
• HSE Preliminary Screening Forms PSF1 and PSF2 (HS-23.1 Appendix 2/3)
• DSO case files
• Trust in Care file (HS-23.1 s.10.0)
• Child Safeguarding Statement (HS-28 Appendix 1)
• Garda vetting register (NVB)
• Staff training records (Safeguarding Vulnerable Adults; Children First e-Learning)
• Service User Financial Transactions records (CARE-17 Appendix 1)
• Incident log (QA-13)
• Complaints log (QA-03)
• EMT and Clinical Governance Committee minutes referencing safeguarding</t>
  </si>
  <si>
    <t xml:space="preserve">SG-01</t>
  </si>
  <si>
    <t xml:space="preserve">A Designated Safeguarding Officer is appointed, named in policy, and contact details are visible to staff and Service Users</t>
  </si>
  <si>
    <t xml:space="preserve">HS-23.1 s.5.4</t>
  </si>
  <si>
    <t xml:space="preserve">• DSO named in current HS-23.1
• Posters/Service User Guide reference</t>
  </si>
  <si>
    <t xml:space="preserve">SG-02</t>
  </si>
  <si>
    <t xml:space="preserve">Every staff member has current Garda Vetting (NVB) on file before commencing duties</t>
  </si>
  <si>
    <t xml:space="preserve">HR-29 s.14.0</t>
  </si>
  <si>
    <t xml:space="preserve">• 100% vetting register
• Start date vs vetting date</t>
  </si>
  <si>
    <t xml:space="preserve">SG-03</t>
  </si>
  <si>
    <t xml:space="preserve">Re-vetting is conducted at intervals not exceeding the policy-stated cycle</t>
  </si>
  <si>
    <t xml:space="preserve">• Re-vetting due-dates list
• Overdue flags</t>
  </si>
  <si>
    <t xml:space="preserve">SG-04</t>
  </si>
  <si>
    <t xml:space="preserve">All operational staff completed Safeguarding Vulnerable Adults training in the last 12 months</t>
  </si>
  <si>
    <t xml:space="preserve">HS-23 s.9.0</t>
  </si>
  <si>
    <t xml:space="preserve">• Training matrix
• Certificate dates</t>
  </si>
  <si>
    <t xml:space="preserve">SG-05</t>
  </si>
  <si>
    <t xml:space="preserve">All staff who may encounter children completed Children First e-Learning</t>
  </si>
  <si>
    <t xml:space="preserve">HS-28 s.6.10</t>
  </si>
  <si>
    <t xml:space="preserve">• Training matrix - Children First
• Mandated Person list</t>
  </si>
  <si>
    <t xml:space="preserve">SG-06</t>
  </si>
  <si>
    <t xml:space="preserve">Child Safeguarding Statement is published, displayed, and within review cycle</t>
  </si>
  <si>
    <t xml:space="preserve">HS-28 s.6.9 / Appendix 1</t>
  </si>
  <si>
    <t xml:space="preserve">• Locate Statement
• Display evidence</t>
  </si>
  <si>
    <t xml:space="preserve">SG-07</t>
  </si>
  <si>
    <t xml:space="preserve">Every safeguarding alert raised in the period has a Preliminary Screening completed using PSF1 within timeframe</t>
  </si>
  <si>
    <t xml:space="preserve">HS-23.1 s.9.2</t>
  </si>
  <si>
    <t xml:space="preserve">• Sample 100% of alerts
• PSF1 on file</t>
  </si>
  <si>
    <t xml:space="preserve">SG-08</t>
  </si>
  <si>
    <t xml:space="preserve">PSF1 outcomes are documented on PSF2 with a clear decision (no further action / further inquiry / refer to HSE Safeguarding and Protection Team)</t>
  </si>
  <si>
    <t xml:space="preserve">HS-23.1 s.9.2.7 / Appendix 3</t>
  </si>
  <si>
    <t xml:space="preserve">• PSF2 completion
• Outcome rationale</t>
  </si>
  <si>
    <t xml:space="preserve">SG-09</t>
  </si>
  <si>
    <t xml:space="preserve">Reasonable Grounds for Concern cases (Stage 3) were referred to the HSE Safeguarding and Protection Team</t>
  </si>
  <si>
    <t xml:space="preserve">HS-23.1 s.9.4</t>
  </si>
  <si>
    <t xml:space="preserve">• HSE referral letter
• Acknowledgement on file</t>
  </si>
  <si>
    <t xml:space="preserve">SG-10</t>
  </si>
  <si>
    <t xml:space="preserve">Allegations against staff members were managed under Trust in Care with appropriate protections</t>
  </si>
  <si>
    <t xml:space="preserve">HS-23.1 s.10.0</t>
  </si>
  <si>
    <t xml:space="preserve">• Trust in Care file
• Suspension/precautionary measures documented</t>
  </si>
  <si>
    <t xml:space="preserve">SG-11</t>
  </si>
  <si>
    <t xml:space="preserve">Service User disclosures were responded to per HS-23.1 Appendix 1 (believed, not interrogated, recorded verbatim where possible)</t>
  </si>
  <si>
    <t xml:space="preserve">HS-23.1 Appendix 1</t>
  </si>
  <si>
    <t xml:space="preserve">• Disclosure recording quality
• Verbatim quotes vs paraphrase</t>
  </si>
  <si>
    <t xml:space="preserve">SG-12</t>
  </si>
  <si>
    <t xml:space="preserve">Self-neglect cases are identified and managed per HS-23 s.8.0</t>
  </si>
  <si>
    <t xml:space="preserve">HS-23 s.8.0 / Appendix 6</t>
  </si>
  <si>
    <t xml:space="preserve">• Self-neglect assessment
• MDT engagement</t>
  </si>
  <si>
    <t xml:space="preserve">SG-13</t>
  </si>
  <si>
    <t xml:space="preserve">Restrictive practices are identified, documented and reviewed per HS-23 s.7.7</t>
  </si>
  <si>
    <t xml:space="preserve">HS-23 s.7.7</t>
  </si>
  <si>
    <t xml:space="preserve">• RP register
• Least restrictive review</t>
  </si>
  <si>
    <t xml:space="preserve">SG-14</t>
  </si>
  <si>
    <t xml:space="preserve">Financial protection controls (CARE-09, CARE-17) are in place - no staff hold ATM cards, no gifts accepted, transactions logged</t>
  </si>
  <si>
    <t xml:space="preserve">CARE-09 s.6.0; CARE-17 s.7.0</t>
  </si>
  <si>
    <t xml:space="preserve">• Financial Transactions Template
• Gifts declaration log</t>
  </si>
  <si>
    <t xml:space="preserve">SG-15</t>
  </si>
  <si>
    <t xml:space="preserve">Suspected financial abuse cases were escalated to the DSO and (where appropriate) HSE Safeguarding Team</t>
  </si>
  <si>
    <t xml:space="preserve">CARE-09 s.7.4</t>
  </si>
  <si>
    <t xml:space="preserve">• Cross-reference DSO log
• Escalation timeline</t>
  </si>
  <si>
    <t xml:space="preserve">SG-16</t>
  </si>
  <si>
    <t xml:space="preserve">Child Protection concerns were referred to Tusla per HS-28 s.8.0 with Mandated Person sign-off where applicable</t>
  </si>
  <si>
    <t xml:space="preserve">HS-28 s.8.5 / s.8.6</t>
  </si>
  <si>
    <t xml:space="preserve">• Tusla referral copy
• Mandated Person record</t>
  </si>
  <si>
    <t xml:space="preserve">SG-17</t>
  </si>
  <si>
    <t xml:space="preserve">Service User Guide and Charter make safeguarding referral routes clear in accessible language</t>
  </si>
  <si>
    <t xml:space="preserve">HS-23.1 s.6.5 / s.6.8</t>
  </si>
  <si>
    <t xml:space="preserve">• Guide content review
• Easy-read version available</t>
  </si>
  <si>
    <t xml:space="preserve">SG-18</t>
  </si>
  <si>
    <t xml:space="preserve">Safeguarding KPIs are reported quarterly to the Clinical Governance Committee</t>
  </si>
  <si>
    <t xml:space="preserve">HS-23 s.10.0</t>
  </si>
  <si>
    <t xml:space="preserve">• CGC minutes
• Safeguarding dashboard</t>
  </si>
  <si>
    <t xml:space="preserve">SG-19</t>
  </si>
  <si>
    <t xml:space="preserve">Where reasonable adjustments / advocacy were required, they were provided (e.g. interpreter, easy-read, independent advocate)</t>
  </si>
  <si>
    <t xml:space="preserve">HS-23.1 s.6.5</t>
  </si>
  <si>
    <t xml:space="preserve">• Adjustments recorded
• Advocate involvement</t>
  </si>
  <si>
    <t xml:space="preserve">SG-20</t>
  </si>
  <si>
    <t xml:space="preserve">Confidentiality of safeguarding files is maintained - restricted access, secure storage</t>
  </si>
  <si>
    <t xml:space="preserve">HS-23 s.7.13; IM-05</t>
  </si>
  <si>
    <t xml:space="preserve">• Access controls
• Filing audit</t>
  </si>
  <si>
    <t xml:space="preserve">SG-21</t>
  </si>
  <si>
    <t xml:space="preserve">Lessons learned from safeguarding events are disseminated to staff and reflected in policy/practice change where indicated</t>
  </si>
  <si>
    <t xml:space="preserve">HS-23 s.7.13</t>
  </si>
  <si>
    <t xml:space="preserve">• Briefings issued
• Policy revision evidence</t>
  </si>
  <si>
    <t xml:space="preserve">SG-22</t>
  </si>
  <si>
    <t xml:space="preserve">Staff are aware of the Protected Disclosure route (QA-37) and confident to use it</t>
  </si>
  <si>
    <t xml:space="preserve">HS-23 s.7.15; QA-37</t>
  </si>
  <si>
    <t xml:space="preserve">• Awareness check
• Protected disclosures log</t>
  </si>
  <si>
    <t xml:space="preserve">SG-23</t>
  </si>
  <si>
    <t xml:space="preserve">Service Users at higher risk (cognitive impairment, isolation, complex family dynamics) have a documented individual safeguarding risk assessment</t>
  </si>
  <si>
    <t xml:space="preserve">HS-23 s.7.6</t>
  </si>
  <si>
    <t xml:space="preserve">• Individual safeguarding risk in care plan
• Review frequency</t>
  </si>
  <si>
    <t xml:space="preserve">  AUD-CMP-01  ·  Complaints Handling Audit</t>
  </si>
  <si>
    <t xml:space="preserve">All complaints (formal and point-of-contact) and all Service User feedback recorded in the audit period. Includes the Master Complaints Log, individual case files, and outbound communication to complainants.</t>
  </si>
  <si>
    <t xml:space="preserve">100% review of formally logged complaints (volume typically permits full review). For point-of-contact resolutions: 30% random sample from the local-resolution log. For feedback: 20% random sample across the feedback channels listed in QA-03.2 s.7.1. Period: rolling 12 months. The audit is conducted by the Complaints Review Officer with the Director of Quality independently verifying timeliness, fairness and learning. Where the Complaints Officer was directly involved in a sampled case, an alternate reviewer is appointed to avoid conflict.</t>
  </si>
  <si>
    <t xml:space="preserve">• Master Complaints Log (QA-SOP-CMP-01)
• Individual complaint files
• Acknowledgement letters
• Investigation reports and outcome letters
• Complaints Review Officer decisions (Stage 2)
• HSE Quarterly Reports submitted
• Feedback Log (QA-03.2)
• Service User Guide complaints section
• Staff training records on complaints handling
• CGC minutes covering complaints trends</t>
  </si>
  <si>
    <t xml:space="preserve">CMP-01</t>
  </si>
  <si>
    <t xml:space="preserve">A Complaints Officer is named, current, and contactable; backup arrangements documented</t>
  </si>
  <si>
    <t xml:space="preserve">QA-03 s.5.4</t>
  </si>
  <si>
    <t xml:space="preserve">• Named officer in policy
• Deputy arrangement</t>
  </si>
  <si>
    <t xml:space="preserve">CMP-02</t>
  </si>
  <si>
    <t xml:space="preserve">Service Users are informed of the complaints route at sign-up via the Service User Guide and Charter</t>
  </si>
  <si>
    <t xml:space="preserve">QA-03 s.6.1; GOV-12</t>
  </si>
  <si>
    <t xml:space="preserve">• Guide content
• Sign-up checklist</t>
  </si>
  <si>
    <t xml:space="preserve">CMP-03</t>
  </si>
  <si>
    <t xml:space="preserve">All complaints are logged in the Master Complaints Log within 1 working day of receipt</t>
  </si>
  <si>
    <t xml:space="preserve">QA-03 s.17.0</t>
  </si>
  <si>
    <t xml:space="preserve">• Log entry date vs receipt date
• Sample timing</t>
  </si>
  <si>
    <t xml:space="preserve">CMP-04</t>
  </si>
  <si>
    <t xml:space="preserve">Every complaint is acknowledged in writing within 5 working days</t>
  </si>
  <si>
    <t xml:space="preserve">QA-03 s.7.0</t>
  </si>
  <si>
    <t xml:space="preserve">• Acknowledgement letter on file
• Date check</t>
  </si>
  <si>
    <t xml:space="preserve">CMP-05</t>
  </si>
  <si>
    <t xml:space="preserve">Investigation outcome letter issued within 30 working days, or extension communicated in writing with reasons</t>
  </si>
  <si>
    <t xml:space="preserve">QA-03 s.9.0</t>
  </si>
  <si>
    <t xml:space="preserve">• Outcome letter date
• Extension notice if any</t>
  </si>
  <si>
    <t xml:space="preserve">CMP-06</t>
  </si>
  <si>
    <t xml:space="preserve">Complainants are informed of their right to internal review and external HSE / Ombudsman onward routes</t>
  </si>
  <si>
    <t xml:space="preserve">QA-03 s.9.0 / s.10.0</t>
  </si>
  <si>
    <t xml:space="preserve">• Outcome letter content
• Onward routes listed</t>
  </si>
  <si>
    <t xml:space="preserve">CMP-07</t>
  </si>
  <si>
    <t xml:space="preserve">Point-of-contact resolutions are still recorded centrally</t>
  </si>
  <si>
    <t xml:space="preserve">QA-03 s.6.4</t>
  </si>
  <si>
    <t xml:space="preserve">• Local-resolution log
• Sample for full content</t>
  </si>
  <si>
    <t xml:space="preserve">CMP-08</t>
  </si>
  <si>
    <t xml:space="preserve">Vexatious / unreasonable behaviour cases are managed per QA-03 s.13.0 with proportionate response</t>
  </si>
  <si>
    <t xml:space="preserve">QA-03 s.13.0</t>
  </si>
  <si>
    <t xml:space="preserve">• Decision rationale
• Escalation route</t>
  </si>
  <si>
    <t xml:space="preserve">CMP-09</t>
  </si>
  <si>
    <t xml:space="preserve">Time limits for raising complaints (12 months) are applied consistently and extensions documented</t>
  </si>
  <si>
    <t xml:space="preserve">QA-03 s.6.1 / s.8.0</t>
  </si>
  <si>
    <t xml:space="preserve">• Extension log
• Rationale</t>
  </si>
  <si>
    <t xml:space="preserve">CMP-10</t>
  </si>
  <si>
    <t xml:space="preserve">Complaints relating to safeguarding are routed to the DSO in parallel with the complaints process</t>
  </si>
  <si>
    <t xml:space="preserve">QA-03 s.11.0</t>
  </si>
  <si>
    <t xml:space="preserve">• Cross-reference SG log
• Dual-track record</t>
  </si>
  <si>
    <t xml:space="preserve">CMP-11</t>
  </si>
  <si>
    <t xml:space="preserve">Complaints relating to incidents trigger an incident report (QA-13)</t>
  </si>
  <si>
    <t xml:space="preserve">QA-13 s.7.1</t>
  </si>
  <si>
    <t xml:space="preserve">• Cross-reference incident log
• Linked case IDs</t>
  </si>
  <si>
    <t xml:space="preserve">CMP-12</t>
  </si>
  <si>
    <t xml:space="preserve">Complaint files contain all required elements: complaint letter, acknowledgement, investigation plan, evidence, outcome, complainant response</t>
  </si>
  <si>
    <t xml:space="preserve">• File completeness checklist
• Missing element list</t>
  </si>
  <si>
    <t xml:space="preserve">CMP-13</t>
  </si>
  <si>
    <t xml:space="preserve">Confidentiality and data protection are maintained in complaint handling and communications</t>
  </si>
  <si>
    <t xml:space="preserve">QA-03 s.18.0; IM-05</t>
  </si>
  <si>
    <t xml:space="preserve">• Access controls
• Redactions in shared documents</t>
  </si>
  <si>
    <t xml:space="preserve">CMP-14</t>
  </si>
  <si>
    <t xml:space="preserve">Quarterly report to HSE has been submitted on time for each quarter in the audit period</t>
  </si>
  <si>
    <t xml:space="preserve">QA-03 s.15.0</t>
  </si>
  <si>
    <t xml:space="preserve">• Submission acknowledgement from HSE
• Date check</t>
  </si>
  <si>
    <t xml:space="preserve">CMP-15</t>
  </si>
  <si>
    <t xml:space="preserve">Themes and lessons from complaints are disseminated via EMT/CGC and inform service change</t>
  </si>
  <si>
    <t xml:space="preserve">QA-03 s.20.0</t>
  </si>
  <si>
    <t xml:space="preserve">• CGC minutes
• Service-change actions linked to complaints</t>
  </si>
  <si>
    <t xml:space="preserve">CMP-16</t>
  </si>
  <si>
    <t xml:space="preserve">Feedback (QA-03.2) is analysed alongside complaints to identify systemic issues</t>
  </si>
  <si>
    <t xml:space="preserve">QA-03.2 s.7.6</t>
  </si>
  <si>
    <t xml:space="preserve">• Combined trends report
• Cross-analysis evidence</t>
  </si>
  <si>
    <t xml:space="preserve">CMP-17</t>
  </si>
  <si>
    <t xml:space="preserve">Compliments are recorded and shared appropriately with staff</t>
  </si>
  <si>
    <t xml:space="preserve">QA-03.2 s.7.4</t>
  </si>
  <si>
    <t xml:space="preserve">• Compliments log
• Staff recognition record</t>
  </si>
  <si>
    <t xml:space="preserve">CMP-18</t>
  </si>
  <si>
    <t xml:space="preserve">Service Users were offered support (advocate / interpreter / easy-read) to raise complaints where required</t>
  </si>
  <si>
    <t xml:space="preserve">QA-03 s.6.3</t>
  </si>
  <si>
    <t xml:space="preserve">• Support offered record
• Advocate involvement</t>
  </si>
  <si>
    <t xml:space="preserve">CMP-19</t>
  </si>
  <si>
    <t xml:space="preserve">Complaints staff received training on complaints handling and unconscious bias in the last 12 months</t>
  </si>
  <si>
    <t xml:space="preserve">QA-03 s.19.0</t>
  </si>
  <si>
    <t xml:space="preserve">• Training record
• Refresher date</t>
  </si>
  <si>
    <t xml:space="preserve">CMP-20</t>
  </si>
  <si>
    <t xml:space="preserve">Service Users receive a follow-up satisfaction check on complaint outcome handling</t>
  </si>
  <si>
    <t xml:space="preserve">QA-03 s.20.0; QA-03.2</t>
  </si>
  <si>
    <t xml:space="preserve">• Satisfaction survey
• Response capture</t>
  </si>
  <si>
    <t xml:space="preserve">CMP-21</t>
  </si>
  <si>
    <t xml:space="preserve">Master Complaints Log fields are populated consistently - no missing categorisation, severity, or outcome data</t>
  </si>
  <si>
    <t xml:space="preserve">QA-SOP-CMP-01</t>
  </si>
  <si>
    <t xml:space="preserve">• Log completeness check
• Mandatory field audit</t>
  </si>
  <si>
    <t xml:space="preserve">CMP-22</t>
  </si>
  <si>
    <t xml:space="preserve">Excluded matters (QA-03 s.11.0) are correctly identified and redirected to the appropriate process</t>
  </si>
  <si>
    <t xml:space="preserve">• Exclusion log
• Redirection letters</t>
  </si>
  <si>
    <t xml:space="preserve">  AUD-FIN-01  ·  Financial Protection Audit</t>
  </si>
  <si>
    <t xml:space="preserve">All Service User Financial Transactions records, all staff gifts / declarations of interest, any reported or suspected financial abuse cases, and the prevention controls (training, vetting, supervision). Does not extend to Service Users own bank accounts beyond what staff record on Liberty Living forms.</t>
  </si>
  <si>
    <t xml:space="preserve">100% review of all Financial Transactions Templates submitted in the audit period (transactions are individually loggable per CARE-17 s.8.4). Plus 100% of any reported financial abuse alerts. For prevention controls: stratified 20% sample of Service User files where shopping or transaction support is part of the plan, plus 100% staff gifts/conflict declarations register. Period: rolling 12 months (quarterly audits cover the preceding quarter). The audit is performed by the Director of Care with independent verification of a random 10% by the Director of Quality.</t>
  </si>
  <si>
    <t xml:space="preserve">• Financial Transactions Template records (CARE-17 Appendix 1)
• Receipts retained on file (CARE-17 s.8.5)
• Service User Home Support Plans - financial / shopping tasks
• Staff gifts and conflict-of-interest register
• DSO log of financial abuse alerts
• Incident log (QA-13) - financial category
• CARE-09 / CARE-17 training records
• HSE Safeguarding referrals related to financial concerns
• Quarterly audit reports by Director of Care
• Service User Charter and Service User Guide - financial sections</t>
  </si>
  <si>
    <t xml:space="preserve">FIN-01</t>
  </si>
  <si>
    <t xml:space="preserve">Every transaction involving Service User money by staff is recorded on the Financial Transactions Template</t>
  </si>
  <si>
    <t xml:space="preserve">CARE-17 s.8.4</t>
  </si>
  <si>
    <t xml:space="preserve">• Sample of transactions cross-referenced with visit logs
• Look for unrecorded shopping trips</t>
  </si>
  <si>
    <t xml:space="preserve">FIN-02</t>
  </si>
  <si>
    <t xml:space="preserve">Each transaction record includes date, amount given, items purchased, amount returned, receipts attached</t>
  </si>
  <si>
    <t xml:space="preserve">CARE-17 s.8.4 / s.8.5</t>
  </si>
  <si>
    <t xml:space="preserve">• Field-by-field completeness check
• Receipt attached or rationale for missing</t>
  </si>
  <si>
    <t xml:space="preserve">FIN-03</t>
  </si>
  <si>
    <t xml:space="preserve">Each transaction is countersigned by the Service User or representative</t>
  </si>
  <si>
    <t xml:space="preserve">• Signature present
• Rationale if signature not possible (e.g. cognitive impairment - alternative attestation)</t>
  </si>
  <si>
    <t xml:space="preserve">FIN-04</t>
  </si>
  <si>
    <t xml:space="preserve">Staff do not receive gifts, money or property from Service Users beyond the de minimis allowed in policy</t>
  </si>
  <si>
    <t xml:space="preserve">CARE-09 s.6.3; CARE-17 s.7.1</t>
  </si>
  <si>
    <t xml:space="preserve">• Gifts declaration register
• Staff confirmations</t>
  </si>
  <si>
    <t xml:space="preserve">FIN-05</t>
  </si>
  <si>
    <t xml:space="preserve">Staff do not hold ATM cards, PINs, or banking passwords for Service Users</t>
  </si>
  <si>
    <t xml:space="preserve">CARE-17 s.7.2</t>
  </si>
  <si>
    <t xml:space="preserve">• Staff knowledge check
• Visit observations</t>
  </si>
  <si>
    <t xml:space="preserve">FIN-06</t>
  </si>
  <si>
    <t xml:space="preserve">Staff do not mix personal and Service User funds, and do not borrow from / lend to Service Users</t>
  </si>
  <si>
    <t xml:space="preserve">CARE-09 s.6.5</t>
  </si>
  <si>
    <t xml:space="preserve">• Staff declarations
• Transaction record review</t>
  </si>
  <si>
    <t xml:space="preserve">FIN-07</t>
  </si>
  <si>
    <t xml:space="preserve">Personal loyalty cards (e.g. Tesco Clubcard) are not used when shopping for Service Users</t>
  </si>
  <si>
    <t xml:space="preserve">CARE-17 s.8.6</t>
  </si>
  <si>
    <t xml:space="preserve">• Staff knowledge check
• Receipt inspection for loyalty card use</t>
  </si>
  <si>
    <t xml:space="preserve">FIN-08</t>
  </si>
  <si>
    <t xml:space="preserve">Large or inappropriate amounts of cash held by Service Users are reported per CARE-17 s.8.7</t>
  </si>
  <si>
    <t xml:space="preserve">CARE-17 s.8.7</t>
  </si>
  <si>
    <t xml:space="preserve">• Alert log
• Plan note</t>
  </si>
  <si>
    <t xml:space="preserve">FIN-09</t>
  </si>
  <si>
    <t xml:space="preserve">Staff are vigilant for indicators of financial abuse listed in CARE-09 s.7.1 and act on them</t>
  </si>
  <si>
    <t xml:space="preserve">CARE-09 s.7.1 / s.7.2</t>
  </si>
  <si>
    <t xml:space="preserve">• Concerns log
• Escalation records</t>
  </si>
  <si>
    <t xml:space="preserve">FIN-10</t>
  </si>
  <si>
    <t xml:space="preserve">Financial abuse concerns are escalated to the DSO and, where appropriate, HSE Safeguarding Team</t>
  </si>
  <si>
    <t xml:space="preserve">CARE-09 s.7.4; CARE-17 s.8.9</t>
  </si>
  <si>
    <t xml:space="preserve">• DSO file cross-check
• HSE referral evidence</t>
  </si>
  <si>
    <t xml:space="preserve">FIN-11</t>
  </si>
  <si>
    <t xml:space="preserve">Quarterly financial transactions audit by Director of Care has been completed for each quarter in the period</t>
  </si>
  <si>
    <t xml:space="preserve">CARE-17 s.8.10</t>
  </si>
  <si>
    <t xml:space="preserve">• Quarterly audit report on file
• EMT/CGC tabling</t>
  </si>
  <si>
    <t xml:space="preserve">FIN-12</t>
  </si>
  <si>
    <t xml:space="preserve">All staff completed Financial Abuse / Money Handling training in the last 12 months</t>
  </si>
  <si>
    <t xml:space="preserve">CARE-09 s.8.0</t>
  </si>
  <si>
    <t xml:space="preserve">• Training matrix
• Refresher dates</t>
  </si>
  <si>
    <t xml:space="preserve">FIN-13</t>
  </si>
  <si>
    <t xml:space="preserve">Service User Guide explains financial protection arrangements and how to raise concerns</t>
  </si>
  <si>
    <t xml:space="preserve">CARE-09 s.6.0; GOV-12</t>
  </si>
  <si>
    <t xml:space="preserve">• Guide content
• Easy-read available</t>
  </si>
  <si>
    <t xml:space="preserve">FIN-14</t>
  </si>
  <si>
    <t xml:space="preserve">Mislaid money or financial misunderstandings are documented and resolved with a clear audit trail</t>
  </si>
  <si>
    <t xml:space="preserve">CARE-17 s.8.8</t>
  </si>
  <si>
    <t xml:space="preserve">• Incident log entry
• Resolution record</t>
  </si>
  <si>
    <t xml:space="preserve">FIN-15</t>
  </si>
  <si>
    <t xml:space="preserve">Where a Service User has a Decision Support Arrangement covering finances, this is respected and recorded</t>
  </si>
  <si>
    <t xml:space="preserve">CARE-09; CARE-06; CARE-17</t>
  </si>
  <si>
    <t xml:space="preserve">• DSA referenced in plan
• Representative consulted</t>
  </si>
  <si>
    <t xml:space="preserve">FIN-16</t>
  </si>
  <si>
    <t xml:space="preserve">Trends in financial transaction activity are reviewed for outliers (e.g. unusual frequency, large amounts) by the Director of Care</t>
  </si>
  <si>
    <t xml:space="preserve">• Outlier analysis
• Investigation of flags</t>
  </si>
  <si>
    <t xml:space="preserve">FIN-17</t>
  </si>
  <si>
    <t xml:space="preserve">Where staff identified financial abuse by a third party (family / neighbour), they reported and supported the investigation</t>
  </si>
  <si>
    <t xml:space="preserve">CARE-09 s.7.0</t>
  </si>
  <si>
    <t xml:space="preserve">• Cross-reference SG file
• Third-party referenced</t>
  </si>
  <si>
    <t xml:space="preserve">FIN-18</t>
  </si>
  <si>
    <t xml:space="preserve">Financial protection is included in HCA induction and shadowing</t>
  </si>
  <si>
    <t xml:space="preserve">CARE-09 s.8.0; HR-14</t>
  </si>
  <si>
    <t xml:space="preserve">• Induction content
• Shadowing checklist</t>
  </si>
  <si>
    <t xml:space="preserve">FIN-19</t>
  </si>
  <si>
    <t xml:space="preserve">Records of financial transactions are retained securely and per GDPR retention rules</t>
  </si>
  <si>
    <t xml:space="preserve">CARE-17 s.8.4; IM-05</t>
  </si>
  <si>
    <t xml:space="preserve">• Storage location
• Retention period</t>
  </si>
  <si>
    <t xml:space="preserve">FIN-20</t>
  </si>
  <si>
    <t xml:space="preserve">Conflicts of interest (e.g. staff related to Service Users) are declared and managed</t>
  </si>
  <si>
    <t xml:space="preserve">HR-38; CARE-09</t>
  </si>
  <si>
    <t xml:space="preserve">• Conflict register
• Allocation adjustment evidence</t>
  </si>
  <si>
    <t xml:space="preserve">  AUD-LW-01  ·  Lone Worker Audit</t>
  </si>
  <si>
    <t xml:space="preserve">All HCAs and any other staff who work alone or visit Service Users homes; all Lone Worker Risk Assessments (general and Service-User-specific); the Control Point system; the response process to failed contacts; and the use of NFC tags or equivalent monitoring technology.</t>
  </si>
  <si>
    <t xml:space="preserve">Two parallel samples. (1) Service User sample: stratified random 20% sample of Service User packages plus 100% of packages flagged as elevated lone-working risk. (2) Staff sample: 25% of HCAs, with 100% of those who reported a lone-working incident in the period. Period: rolling 12 months. The Control Point function and call-handling response are tested via 5 unannounced scenarios (simulated failed contacts) over the audit period.</t>
  </si>
  <si>
    <t xml:space="preserve">• Lone Worker General Risk Assessment (HS-16 Appendix 2)
• Service User Lone Worker Risk Assessments
• Home Environmental Risk Assessments (HS-24)
• NFC tag / electronic monitoring logs
• Control Point shift logs
• Incident reports - aggression, assault, near-miss, missed contact
• Training records (Lone Worker, Personal Safety, Conflict Resolution)
• Vehicle / travel records where relevant
• Staff supervision notes referencing lone working concerns
• Mobile phone / panic alarm deployment records</t>
  </si>
  <si>
    <t xml:space="preserve">LW-01</t>
  </si>
  <si>
    <t xml:space="preserve">A Lone Worker General Risk Assessment is in place, current (reviewed in last 12 months), and signed off</t>
  </si>
  <si>
    <t xml:space="preserve">HS-16 s.6.1 / s.6.2</t>
  </si>
  <si>
    <t xml:space="preserve">• Locate assessment
• Review date check</t>
  </si>
  <si>
    <t xml:space="preserve">LW-02</t>
  </si>
  <si>
    <t xml:space="preserve">Every Service User package has a documented lone-working risk consideration as part of the assessment</t>
  </si>
  <si>
    <t xml:space="preserve">HS-16 s.7.1 / s.7.2</t>
  </si>
  <si>
    <t xml:space="preserve">• Sample plans for LW section
• Risk rating present</t>
  </si>
  <si>
    <t xml:space="preserve">LW-03</t>
  </si>
  <si>
    <t xml:space="preserve">Where elevated risks were identified, a full Service-User-specific Lone Worker Risk Assessment was completed</t>
  </si>
  <si>
    <t xml:space="preserve">HS-16 s.7.3</t>
  </si>
  <si>
    <t xml:space="preserve">• Full LW assessment on file
• Control measures listed</t>
  </si>
  <si>
    <t xml:space="preserve">LW-04</t>
  </si>
  <si>
    <t xml:space="preserve">Where risk to staff is deemed unacceptable, action is taken (e.g. paired visit, withdrawal of service) and documented</t>
  </si>
  <si>
    <t xml:space="preserve">HS-16 s.7.5</t>
  </si>
  <si>
    <t xml:space="preserve">• Mitigation decisions on file
• Service adjustment evidence</t>
  </si>
  <si>
    <t xml:space="preserve">LW-05</t>
  </si>
  <si>
    <t xml:space="preserve">Control Point function is operational 24/7 with documented call handling and escalation tree</t>
  </si>
  <si>
    <t xml:space="preserve">HS-16 s.10.0</t>
  </si>
  <si>
    <t xml:space="preserve">• Control Point SOP
• Shift logs</t>
  </si>
  <si>
    <t xml:space="preserve">LW-06</t>
  </si>
  <si>
    <t xml:space="preserve">Failed-contact follow-up procedure (HS-16 s.11.0) is in place and tested</t>
  </si>
  <si>
    <t xml:space="preserve">HS-16 s.11.0</t>
  </si>
  <si>
    <t xml:space="preserve">• Test scenarios
• Response time data</t>
  </si>
  <si>
    <t xml:space="preserve">LW-07</t>
  </si>
  <si>
    <t xml:space="preserve">NFC tag or equivalent visit-confirmation technology is deployed for all in-home visits</t>
  </si>
  <si>
    <t xml:space="preserve">HS-16 Appendix 3</t>
  </si>
  <si>
    <t xml:space="preserve">• Tag log audit
• Missed-tap analysis</t>
  </si>
  <si>
    <t xml:space="preserve">LW-08</t>
  </si>
  <si>
    <t xml:space="preserve">Missed taps or unconfirmed visits are followed up by Control Point and the outcome recorded</t>
  </si>
  <si>
    <t xml:space="preserve">• Follow-up records
• Closure evidence</t>
  </si>
  <si>
    <t xml:space="preserve">LW-09</t>
  </si>
  <si>
    <t xml:space="preserve">Staff carry a charged mobile phone with key contacts and panic-alarm function accessible</t>
  </si>
  <si>
    <t xml:space="preserve">HS-16 s.8.0; HS-24 s.10.0</t>
  </si>
  <si>
    <t xml:space="preserve">• Issued device list
• Charging policy</t>
  </si>
  <si>
    <t xml:space="preserve">LW-10</t>
  </si>
  <si>
    <t xml:space="preserve">Personal safety controls per HS-16 Appendix 4, 5 and 6 are communicated and reinforced</t>
  </si>
  <si>
    <t xml:space="preserve">HS-16 s.8.1 / Appendices 4/5/6</t>
  </si>
  <si>
    <t xml:space="preserve">• Briefing record
• Refresher attendance</t>
  </si>
  <si>
    <t xml:space="preserve">LW-11</t>
  </si>
  <si>
    <t xml:space="preserve">Incidents of aggression or assault are reported per HS-16 s.12.0 and QA-13, and victims supported</t>
  </si>
  <si>
    <t xml:space="preserve">HS-16 s.12.0; QA-13</t>
  </si>
  <si>
    <t xml:space="preserve">• Incident reports
• Staff support records</t>
  </si>
  <si>
    <t xml:space="preserve">LW-12</t>
  </si>
  <si>
    <t xml:space="preserve">Staff received Lone Worker training as part of induction and at refresher intervals</t>
  </si>
  <si>
    <t xml:space="preserve">HS-16 s.13.0; HR-14</t>
  </si>
  <si>
    <t xml:space="preserve">LW-13</t>
  </si>
  <si>
    <t xml:space="preserve">Travel-time and journey planning consider lone-working risks (e.g. winter night visits, rural areas)</t>
  </si>
  <si>
    <t xml:space="preserve">HS-16 Appendix 5</t>
  </si>
  <si>
    <t xml:space="preserve">• Roster review
• Visit timing analysis</t>
  </si>
  <si>
    <t xml:space="preserve">LW-14</t>
  </si>
  <si>
    <t xml:space="preserve">Supervision discusses lone-working welfare with each HCA at least quarterly</t>
  </si>
  <si>
    <t xml:space="preserve">HR-14 supervision standards; HS-16</t>
  </si>
  <si>
    <t xml:space="preserve">• Supervision notes
• LW item present</t>
  </si>
  <si>
    <t xml:space="preserve">LW-15</t>
  </si>
  <si>
    <t xml:space="preserve">Where Service Users have responsive behaviours that elevate lone-worker risk, the plan reflects de-escalation strategies (HS-07)</t>
  </si>
  <si>
    <t xml:space="preserve">HS-07; HS-16</t>
  </si>
  <si>
    <t xml:space="preserve">• Plan content
• Behavioural support plan</t>
  </si>
  <si>
    <t xml:space="preserve">LW-16</t>
  </si>
  <si>
    <t xml:space="preserve">Reporting lines for lone-working concerns are clear and staff confident to use them</t>
  </si>
  <si>
    <t xml:space="preserve">HS-16 s.5.0</t>
  </si>
  <si>
    <t xml:space="preserve">• Staff knowledge check
• Concern log</t>
  </si>
  <si>
    <t xml:space="preserve">LW-17</t>
  </si>
  <si>
    <t xml:space="preserve">Lone-worker risk register is reviewed by EMT at least quarterly</t>
  </si>
  <si>
    <t xml:space="preserve">HS-31; HS-10 s.7.1</t>
  </si>
  <si>
    <t xml:space="preserve">• EMT minutes
• Risk register version</t>
  </si>
  <si>
    <t xml:space="preserve">LW-18</t>
  </si>
  <si>
    <t xml:space="preserve">Vehicles used by staff are roadworthy, insured for work use, and breakdown cover is in place where required</t>
  </si>
  <si>
    <t xml:space="preserve">HS-16 Appendix 5; HS-10</t>
  </si>
  <si>
    <t xml:space="preserve">• Vehicle check evidence
• Insurance declarations</t>
  </si>
  <si>
    <t xml:space="preserve">LW-19</t>
  </si>
  <si>
    <t xml:space="preserve">Out-of-hours visits have an explicit decision rationale recorded if conducted alone</t>
  </si>
  <si>
    <t xml:space="preserve">HS-16 s.7.0 / s.8.0</t>
  </si>
  <si>
    <t xml:space="preserve">• Out-of-hours register
• Decision notes</t>
  </si>
  <si>
    <t xml:space="preserve">LW-20</t>
  </si>
  <si>
    <t xml:space="preserve">Lone-working KPIs (e.g. missed-tap rate, aggression incident rate) are reported monthly to EMT</t>
  </si>
  <si>
    <t xml:space="preserve">HS-16 s.13.0; HS-10 s.7.1</t>
  </si>
  <si>
    <t xml:space="preserve">• KPI dashboard
• EMT pack</t>
  </si>
  <si>
    <t xml:space="preserve">  AUD-ENV-01  ·  Environmental Safety Audit</t>
  </si>
  <si>
    <t xml:space="preserve">All Service Users Home Environmental Risk Assessments, security and access arrangements, staff ID and uniform compliance, mobile phone usage in homes, and the corporate health and safety risk register as it relates to home-environment risks.</t>
  </si>
  <si>
    <t xml:space="preserve">Stratified random sample of 20% of active Service User packages or 50 plans (whichever is greater), with 100% inclusion of packages where an environmental incident occurred in the period. Period: rolling 12 months. Observation component: accompany 10 HCAs on visits (with Service User consent) to confirm entry procedures, ID display, and environmental controls in practice.</t>
  </si>
  <si>
    <t xml:space="preserve">• Home Environmental Risk Assessments (CARE-08 Appendix 8; HS-24)
• Home Support Care Plans - environmental controls section
• Key safe / access arrangements register (HS-24 s.7.0)
• Staff ID card register
• Uniform / dress code policy and compliance observations
• Mobile phone usage records / staff acknowledgements
• Incident log - environmental category (slips/trips, fire, electrical, pets, hazardous substances)
• Corporate health and safety risk register (HS-10)
• BeSMART safety statement records
• Re-assessment triggers logged when Service User home changes</t>
  </si>
  <si>
    <t xml:space="preserve">ENV-01</t>
  </si>
  <si>
    <t xml:space="preserve">A Home Environmental Risk Assessment exists for every sampled Service User, completed before service commencement</t>
  </si>
  <si>
    <t xml:space="preserve">HS-24 s.6.2</t>
  </si>
  <si>
    <t xml:space="preserve">• Locate ERA
• Date predates first visit</t>
  </si>
  <si>
    <t xml:space="preserve">ENV-02</t>
  </si>
  <si>
    <t xml:space="preserve">ERA covers all HS-24 s.6.3 domains (access, fire, electrical, fall hazards, pets, hazardous substances, smoking)</t>
  </si>
  <si>
    <t xml:space="preserve">HS-24 s.6.3</t>
  </si>
  <si>
    <t xml:space="preserve">• Domain checklist
• Blank fields rationale</t>
  </si>
  <si>
    <t xml:space="preserve">ENV-03</t>
  </si>
  <si>
    <t xml:space="preserve">Risk levels are scored and control measures defined for each identified hazard</t>
  </si>
  <si>
    <t xml:space="preserve">HS-24 s.6.4</t>
  </si>
  <si>
    <t xml:space="preserve">• Risk matrix application
• Controls listed</t>
  </si>
  <si>
    <t xml:space="preserve">ENV-04</t>
  </si>
  <si>
    <t xml:space="preserve">Where controls are insufficient or refused, the matter is escalated and the decision to provide/withdraw service is documented</t>
  </si>
  <si>
    <t xml:space="preserve">HS-24 s.6.4; HS-10 s.6.7</t>
  </si>
  <si>
    <t xml:space="preserve">• Escalation log
• Decision rationale</t>
  </si>
  <si>
    <t xml:space="preserve">ENV-05</t>
  </si>
  <si>
    <t xml:space="preserve">ERAs are re-assessed when Service User home environment changes or following an incident</t>
  </si>
  <si>
    <t xml:space="preserve">HS-24 s.6.6</t>
  </si>
  <si>
    <t xml:space="preserve">• Re-assessment trigger evidence
• Updated ERA on file</t>
  </si>
  <si>
    <t xml:space="preserve">ENV-06</t>
  </si>
  <si>
    <t xml:space="preserve">Access and key-safe arrangements are documented securely with appropriate access controls</t>
  </si>
  <si>
    <t xml:space="preserve">HS-24 s.7.1 / s.7.2</t>
  </si>
  <si>
    <t xml:space="preserve">• Access register security
• Authorised staff list</t>
  </si>
  <si>
    <t xml:space="preserve">ENV-07</t>
  </si>
  <si>
    <t xml:space="preserve">Staff only access Service User homes during scheduled duties</t>
  </si>
  <si>
    <t xml:space="preserve">HS-24 s.7.3</t>
  </si>
  <si>
    <t xml:space="preserve">• NFC log analysis
• Roster cross-check</t>
  </si>
  <si>
    <t xml:space="preserve">ENV-08</t>
  </si>
  <si>
    <t xml:space="preserve">Staff announce arrival and confirm identity using Liberty Living ID on entry</t>
  </si>
  <si>
    <t xml:space="preserve">HS-24 s.7.6 / s.8.0</t>
  </si>
  <si>
    <t xml:space="preserve">• Observation evidence
• Service User feedback</t>
  </si>
  <si>
    <t xml:space="preserve">ENV-09</t>
  </si>
  <si>
    <t xml:space="preserve">Failed-entry procedure (HS-24 s.7.7 / s.7.8) is followed when Service User does not answer</t>
  </si>
  <si>
    <t xml:space="preserve">HS-24 s.7.7 / s.7.8</t>
  </si>
  <si>
    <t xml:space="preserve">• Incident logs of failed entries
• Welfare check evidence</t>
  </si>
  <si>
    <t xml:space="preserve">ENV-10</t>
  </si>
  <si>
    <t xml:space="preserve">All staff hold current Liberty Living ID cards and display them on visits</t>
  </si>
  <si>
    <t xml:space="preserve">HS-24 s.8.0</t>
  </si>
  <si>
    <t xml:space="preserve">• ID register
• Observation</t>
  </si>
  <si>
    <t xml:space="preserve">ENV-11</t>
  </si>
  <si>
    <t xml:space="preserve">Uniform / dress code policy is communicated and adhered to</t>
  </si>
  <si>
    <t xml:space="preserve">HS-24 s.9.0</t>
  </si>
  <si>
    <t xml:space="preserve">• Observation
• Staff awareness</t>
  </si>
  <si>
    <t xml:space="preserve">ENV-12</t>
  </si>
  <si>
    <t xml:space="preserve">Mobile phone usage in Service Users homes complies with HS-24 s.10.0</t>
  </si>
  <si>
    <t xml:space="preserve">HS-24 s.10.0</t>
  </si>
  <si>
    <t xml:space="preserve">• Staff briefing record
• Complaint review</t>
  </si>
  <si>
    <t xml:space="preserve">ENV-13</t>
  </si>
  <si>
    <t xml:space="preserve">Slips, trips and falls hazards in Service Users homes are mitigated through plan-level controls</t>
  </si>
  <si>
    <t xml:space="preserve">HS-24 s.11.0; CARE-32</t>
  </si>
  <si>
    <t xml:space="preserve">• Plan content
• Falls risk cross-reference</t>
  </si>
  <si>
    <t xml:space="preserve">ENV-14</t>
  </si>
  <si>
    <t xml:space="preserve">Fire-safety considerations (smoke alarms, escape routes, oxygen use) are part of the ERA</t>
  </si>
  <si>
    <t xml:space="preserve">HS-24 s.11.0</t>
  </si>
  <si>
    <t xml:space="preserve">• ERA fire section
• Oxygen plan if applicable</t>
  </si>
  <si>
    <t xml:space="preserve">ENV-15</t>
  </si>
  <si>
    <t xml:space="preserve">Pets and animals in the home are risk-assessed</t>
  </si>
  <si>
    <t xml:space="preserve">• Pet section in ERA
• Allergen/aggression notes</t>
  </si>
  <si>
    <t xml:space="preserve">ENV-16</t>
  </si>
  <si>
    <t xml:space="preserve">Smoking and second-hand smoke risks are addressed where relevant</t>
  </si>
  <si>
    <t xml:space="preserve">• ERA smoking section
• Mitigation note</t>
  </si>
  <si>
    <t xml:space="preserve">ENV-17</t>
  </si>
  <si>
    <t xml:space="preserve">Hazardous substances in the home (cleaning products, chemicals) are addressed in the ERA</t>
  </si>
  <si>
    <t xml:space="preserve">HS-24 s.11.0; HS-10</t>
  </si>
  <si>
    <t xml:space="preserve">• Substance inventory if applicable
• Control measures</t>
  </si>
  <si>
    <t xml:space="preserve">ENV-18</t>
  </si>
  <si>
    <t xml:space="preserve">Corporate-level Safety Statement exists, was reviewed in the period, and is accessible to staff</t>
  </si>
  <si>
    <t xml:space="preserve">HS-10 s.6.14</t>
  </si>
  <si>
    <t xml:space="preserve">• Locate Safety Statement
• Review date check</t>
  </si>
  <si>
    <t xml:space="preserve">ENV-19</t>
  </si>
  <si>
    <t xml:space="preserve">BeSMART or equivalent risk-assessment platform is in use and assessments completed by EMT</t>
  </si>
  <si>
    <t xml:space="preserve">HS-10 s.6.3 / s.6.4</t>
  </si>
  <si>
    <t xml:space="preserve">• BeSMART portal evidence
• Assessment list</t>
  </si>
  <si>
    <t xml:space="preserve">ENV-20</t>
  </si>
  <si>
    <t xml:space="preserve">Environmental incidents are trended monthly and feed into the risk register</t>
  </si>
  <si>
    <t xml:space="preserve">HS-10 s.7.0; HS-31</t>
  </si>
  <si>
    <t xml:space="preserve">• Trend report
• Risk register update</t>
  </si>
  <si>
    <t xml:space="preserve">ENV-21</t>
  </si>
  <si>
    <t xml:space="preserve">Training on environmental safety / home visits / safe entry is delivered at induction and refresher</t>
  </si>
  <si>
    <t xml:space="preserve">HS-24 s.12.0</t>
  </si>
  <si>
    <t xml:space="preserve">• Training matrix
• Induction content</t>
  </si>
  <si>
    <t xml:space="preserve">ENV-22</t>
  </si>
  <si>
    <t xml:space="preserve">Service User feedback / complaints relating to environmental matters are reviewed and actioned</t>
  </si>
  <si>
    <t xml:space="preserve">HS-24 s.13.0; QA-03.2</t>
  </si>
  <si>
    <t xml:space="preserve">• Complaints log subset
• Closure action</t>
  </si>
  <si>
    <t xml:space="preserve">  AUD-REC-01  ·  Record-Keeping and Data Audit</t>
  </si>
  <si>
    <t xml:space="preserve">All Service User records (electronic and physical), staff personnel records, governance records, the Data Register, the Subject Access Request (SAR) log, and personal data breach log. Excludes incidental administrative records not subject to retention requirements.</t>
  </si>
  <si>
    <t xml:space="preserve">Three layers. (1) Service User files - 15% stratified random sample (minimum 40) of active and recently closed files, including 100% of files with a recorded SAR or data breach. (2) Staff personnel files - 15% sample with 100% of files involved in any HR investigation in the period. (3) Governance records - 100% of policies, minutes, audit reports, training matrices held in the document management system. Period: rolling 12 months. Audit team includes the DPO for IM-05 criteria.</t>
  </si>
  <si>
    <t xml:space="preserve">• Service User Internal Folders (CARE-08 Appendix 5)
• Service User Home Folders (CARE-08 Appendix 4)
• CRM system records (electronic)
• Staff personnel files
• Data Register (IM-05 s.9.0)
• SAR log
• Personal Data Breach log (IM-05 s.12.0)
• DPIA / PIA records (IM-05 s.8.0)
• Retention schedule and disposal records
• Document management system version control
• ICT access control logs</t>
  </si>
  <si>
    <t xml:space="preserve">REC-01</t>
  </si>
  <si>
    <t xml:space="preserve">Every Service User has both an individual physical file and an electronic CRM record per IM-30 s.6.1</t>
  </si>
  <si>
    <t xml:space="preserve">IM-30 s.6.1</t>
  </si>
  <si>
    <t xml:space="preserve">• Cross-check physical and electronic
• Identify orphans</t>
  </si>
  <si>
    <t xml:space="preserve">REC-02</t>
  </si>
  <si>
    <t xml:space="preserve">Files contain the minimum content listed in IM-30 s.6.2</t>
  </si>
  <si>
    <t xml:space="preserve">IM-30 s.6.2</t>
  </si>
  <si>
    <t xml:space="preserve">• Content checklist
• Missing items list</t>
  </si>
  <si>
    <t xml:space="preserve">REC-03</t>
  </si>
  <si>
    <t xml:space="preserve">Records meet the seven characteristics of a good record (legible, accurate, complete, timely, contemporaneous, factual, signed)</t>
  </si>
  <si>
    <t xml:space="preserve">IM-30 s.7.3</t>
  </si>
  <si>
    <t xml:space="preserve">• Sample for each characteristic
• Plain English check</t>
  </si>
  <si>
    <t xml:space="preserve">REC-04</t>
  </si>
  <si>
    <t xml:space="preserve">Plans and assessments are version-controlled with superseded versions retained</t>
  </si>
  <si>
    <t xml:space="preserve">• Version numbers
• Archive availability</t>
  </si>
  <si>
    <t xml:space="preserve">REC-05</t>
  </si>
  <si>
    <t xml:space="preserve">Physical records held in the office are stored securely (locked, access-controlled)</t>
  </si>
  <si>
    <t xml:space="preserve">IM-30 s.6.5</t>
  </si>
  <si>
    <t xml:space="preserve">• Storage inspection
• Access log</t>
  </si>
  <si>
    <t xml:space="preserve">REC-06</t>
  </si>
  <si>
    <t xml:space="preserve">Service User has a copy of their plan in the home folder and content matches the office version</t>
  </si>
  <si>
    <t xml:space="preserve">• Home folder copy spot-check
• Version comparison</t>
  </si>
  <si>
    <t xml:space="preserve">REC-07</t>
  </si>
  <si>
    <t xml:space="preserve">Transfers of personal health information outside Liberty Living are subject to documented consent and secure transmission</t>
  </si>
  <si>
    <t xml:space="preserve">IM-30 s.6.10; IM-05 s.10.0</t>
  </si>
  <si>
    <t xml:space="preserve">• Transfer log
• Consent on file
• Secure method evidence</t>
  </si>
  <si>
    <t xml:space="preserve">REC-08</t>
  </si>
  <si>
    <t xml:space="preserve">Liberty Living maintains a current Data Register listing processing activities, lawful bases, retention periods and data recipients</t>
  </si>
  <si>
    <t xml:space="preserve">IM-05 s.9.0</t>
  </si>
  <si>
    <t xml:space="preserve">• Locate Register
• Last review date</t>
  </si>
  <si>
    <t xml:space="preserve">REC-09</t>
  </si>
  <si>
    <t xml:space="preserve">Information and Privacy Statements (Service User and staff) are issued and signed (IM-05 Appendix 1/2)</t>
  </si>
  <si>
    <t xml:space="preserve">IM-05 s.7.1 / Appendix 1 / Appendix 2</t>
  </si>
  <si>
    <t xml:space="preserve">• Signed statement on file
• Date check</t>
  </si>
  <si>
    <t xml:space="preserve">REC-10</t>
  </si>
  <si>
    <t xml:space="preserve">Personal data breaches are logged, assessed and (where required) notified to the DPC within 72 hours</t>
  </si>
  <si>
    <t xml:space="preserve">IM-05 s.12.0</t>
  </si>
  <si>
    <t xml:space="preserve">• Breach log
• DPC notification evidence</t>
  </si>
  <si>
    <t xml:space="preserve">REC-11</t>
  </si>
  <si>
    <t xml:space="preserve">Subject Access Requests are responded to within one calendar month or extended with reason</t>
  </si>
  <si>
    <t xml:space="preserve">IM-05 s.13.0</t>
  </si>
  <si>
    <t xml:space="preserve">• SAR log
• Response dates</t>
  </si>
  <si>
    <t xml:space="preserve">REC-12</t>
  </si>
  <si>
    <t xml:space="preserve">DPIAs are completed for high-risk processing (e.g. new CRM modules, biometric tags, AI tools)</t>
  </si>
  <si>
    <t xml:space="preserve">IM-05 s.8.0</t>
  </si>
  <si>
    <t xml:space="preserve">• DPIA register
• Triggers</t>
  </si>
  <si>
    <t xml:space="preserve">REC-13</t>
  </si>
  <si>
    <t xml:space="preserve">Data Processing Agreements are in place with all processors (e.g. CRM vendor, payroll, cloud storage)</t>
  </si>
  <si>
    <t xml:space="preserve">IM-05 s.11.0</t>
  </si>
  <si>
    <t xml:space="preserve">• DPA register
• Signed contracts</t>
  </si>
  <si>
    <t xml:space="preserve">REC-14</t>
  </si>
  <si>
    <t xml:space="preserve">Retention schedule is documented and disposal records are kept for confidentially destroyed files</t>
  </si>
  <si>
    <t xml:space="preserve">IM-30 s.9.4; IM-05</t>
  </si>
  <si>
    <t xml:space="preserve">• Retention table
• Disposal certificate</t>
  </si>
  <si>
    <t xml:space="preserve">REC-15</t>
  </si>
  <si>
    <t xml:space="preserve">Quarterly records audit by Director of Quality has been completed in each quarter</t>
  </si>
  <si>
    <t xml:space="preserve">IM-30 s.9.2</t>
  </si>
  <si>
    <t xml:space="preserve">• Audit reports on file
• EMT tabling</t>
  </si>
  <si>
    <t xml:space="preserve">REC-16</t>
  </si>
  <si>
    <t xml:space="preserve">Bi-annual Home Support Plan audit by Clinical Lead has been completed</t>
  </si>
  <si>
    <t xml:space="preserve">IM-30 s.9.1</t>
  </si>
  <si>
    <t xml:space="preserve">• Audit reports on file
• Cross-reference AUD-CP-01</t>
  </si>
  <si>
    <t xml:space="preserve">REC-17</t>
  </si>
  <si>
    <t xml:space="preserve">Home Care Record sheets are collected from Service Users homes on a defined schedule and entered into the office record</t>
  </si>
  <si>
    <t xml:space="preserve">IM-30 s.9.4</t>
  </si>
  <si>
    <t xml:space="preserve">• Collection schedule
• Filing evidence</t>
  </si>
  <si>
    <t xml:space="preserve">REC-18</t>
  </si>
  <si>
    <t xml:space="preserve">Access controls in the CRM reflect role-based permissions (least privilege)</t>
  </si>
  <si>
    <t xml:space="preserve">IM-05 s.10.0</t>
  </si>
  <si>
    <t xml:space="preserve">• Permission matrix
• Sample user roles</t>
  </si>
  <si>
    <t xml:space="preserve">REC-19</t>
  </si>
  <si>
    <t xml:space="preserve">Staff completed GDPR / Data Protection training in the last 12 months</t>
  </si>
  <si>
    <t xml:space="preserve">IM-05 s.15.0</t>
  </si>
  <si>
    <t xml:space="preserve">REC-20</t>
  </si>
  <si>
    <t xml:space="preserve">Documents in the management system are titled, indexed and discoverable</t>
  </si>
  <si>
    <t xml:space="preserve">IM-30 s.7.1</t>
  </si>
  <si>
    <t xml:space="preserve">• Index sampling
• Find-by-title test</t>
  </si>
  <si>
    <t xml:space="preserve">REC-21</t>
  </si>
  <si>
    <t xml:space="preserve">Records support the Service User involvement in their own care (open records on request)</t>
  </si>
  <si>
    <t xml:space="preserve">IM-05 s.14.0</t>
  </si>
  <si>
    <t xml:space="preserve">• Open record requests log
• Response evidence</t>
  </si>
  <si>
    <t xml:space="preserve">REC-22</t>
  </si>
  <si>
    <t xml:space="preserve">ICT access logs are reviewed and unusual access patterns investigated</t>
  </si>
  <si>
    <t xml:space="preserve">• Log review evidence
• Investigation outcomes</t>
  </si>
  <si>
    <t xml:space="preserve">  AUD-TRG-01  ·  Training and Competency Audit</t>
  </si>
  <si>
    <t xml:space="preserve">All Liberty Living staff training, induction, shadowing, NCCA competency assessment, supervision, performance review, recruitment vetting, and professional boundaries compliance. Covers approximately 140 staff including circa 120 HCAs.</t>
  </si>
  <si>
    <t xml:space="preserve">Two layers. (1) Staff personnel files - 100% review of the training matrix for currency against mandatory modules; 20% deep file review (minimum 25 files) with 100% inclusion of files for staff hired in the last 12 months and any staff involved in disciplinary or complaints matters. (2) Supervision records - 25% sample with 100% of files where lone-working or capability concerns were noted. Period: rolling 12 months for ongoing training; full employment history for vetting and qualifications.</t>
  </si>
  <si>
    <t xml:space="preserve">• Staff personnel files
• Training matrix / LMS records
• Induction Attendance Records (HR-14 Appendix 1)
• Induction Programme Schedule completion records
• Shadowing Records (HR-14 Appendix 3)
• National Carer Competency Assessment (NCCA) records (HR-14 Appendix 4)
• Training Plan templates and completions (HR-14 Appendix 5)
• Supervision Record Templates (HR-14 Appendix 6)
• Policy Acknowledgement Forms (HR-14 Appendix 8)
• Garda vetting (NVB) register
• Reference check records (HR-29 s.13.0)
• Right-to-work / identity verification records (HR-29 s.14.0)
• Professional boundaries acknowledgements (HR-38)
• Performance review records</t>
  </si>
  <si>
    <t xml:space="preserve">TRG-01</t>
  </si>
  <si>
    <t xml:space="preserve">Every staff member completed General Induction prior to commencing duties</t>
  </si>
  <si>
    <t xml:space="preserve">HR-14 s.6.1</t>
  </si>
  <si>
    <t xml:space="preserve">• Induction record on file
• Start date vs induction date</t>
  </si>
  <si>
    <t xml:space="preserve">TRG-02</t>
  </si>
  <si>
    <t xml:space="preserve">Home Support Workers completed Additional HSW Induction including shadowing</t>
  </si>
  <si>
    <t xml:space="preserve">HR-14 s.7.0</t>
  </si>
  <si>
    <t xml:space="preserve">• Additional induction record
• Shadowing log</t>
  </si>
  <si>
    <t xml:space="preserve">TRG-03</t>
  </si>
  <si>
    <t xml:space="preserve">Shadowing was conducted with a sign-off-competent supervisor and observed tasks recorded</t>
  </si>
  <si>
    <t xml:space="preserve">HR-14 s.7.0; Appendix 3</t>
  </si>
  <si>
    <t xml:space="preserve">• Shadowing supervisor recorded
• Task list ticked</t>
  </si>
  <si>
    <t xml:space="preserve">TRG-04</t>
  </si>
  <si>
    <t xml:space="preserve">National Carer Competency Assessment was completed before unsupervised practice</t>
  </si>
  <si>
    <t xml:space="preserve">HR-14 s.7.0; Appendix 4</t>
  </si>
  <si>
    <t xml:space="preserve">• NCCA record
• Date before first solo visit</t>
  </si>
  <si>
    <t xml:space="preserve">TRG-05</t>
  </si>
  <si>
    <t xml:space="preserve">Each HCA holds QQI Level 5 (Care Skills and Care of the Older Person) or equivalent, or is on a documented pathway to attainment</t>
  </si>
  <si>
    <t xml:space="preserve">HR-29 / HSE Authorisation Scheme requirements</t>
  </si>
  <si>
    <t xml:space="preserve">• Certificate copy
• Pathway plan if outstanding</t>
  </si>
  <si>
    <t xml:space="preserve">TRG-06</t>
  </si>
  <si>
    <t xml:space="preserve">All staff completed Mandatory Training modules within the required frequency</t>
  </si>
  <si>
    <t xml:space="preserve">HR-14 s.9.0</t>
  </si>
  <si>
    <t xml:space="preserve">• Training matrix completeness
• Refresher dates</t>
  </si>
  <si>
    <t xml:space="preserve">TRG-07</t>
  </si>
  <si>
    <t xml:space="preserve">Mandatory module set includes (at minimum): Manual Handling, Safeguarding, Children First (if applicable), IPC, Hand Hygiene, Medication Management, Lone Worker, Fire Safety, Data Protection / GDPR, Dementia Awareness, Responsive Behaviour</t>
  </si>
  <si>
    <t xml:space="preserve">• Module list confirmation
• Coverage in matrix</t>
  </si>
  <si>
    <t xml:space="preserve">TRG-08</t>
  </si>
  <si>
    <t xml:space="preserve">Practical training (e.g. manual handling, CPR/AED, fire) is delivered face-to-face and refreshed at policy-stated intervals</t>
  </si>
  <si>
    <t xml:space="preserve">• Delivery mode recorded
• Refresher dates</t>
  </si>
  <si>
    <t xml:space="preserve">TRG-09</t>
  </si>
  <si>
    <t xml:space="preserve">HSW Supervision is conducted at the frequency required by HR-14 s.8.0</t>
  </si>
  <si>
    <t xml:space="preserve">HR-14 s.8.0</t>
  </si>
  <si>
    <t xml:space="preserve">• Supervision frequency analysis
• Records on file</t>
  </si>
  <si>
    <t xml:space="preserve">TRG-10</t>
  </si>
  <si>
    <t xml:space="preserve">Supervision records cover required content including welfare, performance, learning needs, lone working</t>
  </si>
  <si>
    <t xml:space="preserve">HR-14 Appendix 6</t>
  </si>
  <si>
    <t xml:space="preserve">• Content review
• Action follow-up</t>
  </si>
  <si>
    <t xml:space="preserve">TRG-11</t>
  </si>
  <si>
    <t xml:space="preserve">Policy Acknowledgement Forms are signed for new and updated policies</t>
  </si>
  <si>
    <t xml:space="preserve">HR-14 Appendix 8</t>
  </si>
  <si>
    <t xml:space="preserve">• Acknowledgement on file
• Cross-reference policy revisions</t>
  </si>
  <si>
    <t xml:space="preserve">TRG-12</t>
  </si>
  <si>
    <t xml:space="preserve">Garda Vetting (NVB) is current for every staff member and was obtained before duties commenced</t>
  </si>
  <si>
    <t xml:space="preserve">• Vetting record date
• Start date check</t>
  </si>
  <si>
    <t xml:space="preserve">TRG-13</t>
  </si>
  <si>
    <t xml:space="preserve">Two satisfactory written references were obtained and verified before employment</t>
  </si>
  <si>
    <t xml:space="preserve">HR-29 s.13.0</t>
  </si>
  <si>
    <t xml:space="preserve">• Reference letters on file
• Verification note</t>
  </si>
  <si>
    <t xml:space="preserve">TRG-14</t>
  </si>
  <si>
    <t xml:space="preserve">Identity verification is on file (photo ID, right-to-work where applicable)</t>
  </si>
  <si>
    <t xml:space="preserve">• ID copy
• Right-to-work documentation</t>
  </si>
  <si>
    <t xml:space="preserve">TRG-15</t>
  </si>
  <si>
    <t xml:space="preserve">Professional qualifications (e.g. nursing registration) are verified directly with the regulator and re-verified annually</t>
  </si>
  <si>
    <t xml:space="preserve">HR-29; HR-38 s.6.6</t>
  </si>
  <si>
    <t xml:space="preserve">• NMBI search printout
• Re-verification date</t>
  </si>
  <si>
    <t xml:space="preserve">TRG-16</t>
  </si>
  <si>
    <t xml:space="preserve">Professional boundaries training is delivered at induction and refreshed annually</t>
  </si>
  <si>
    <t xml:space="preserve">HR-38 s.8.0</t>
  </si>
  <si>
    <t xml:space="preserve">• Training records
• Refresher date</t>
  </si>
  <si>
    <t xml:space="preserve">TRG-17</t>
  </si>
  <si>
    <t xml:space="preserve">Professional boundaries breaches are recorded, investigated and result in proportionate action</t>
  </si>
  <si>
    <t xml:space="preserve">HR-38 s.7.3; HR-19</t>
  </si>
  <si>
    <t xml:space="preserve">• HR investigation log
• Disciplinary outcomes</t>
  </si>
  <si>
    <t xml:space="preserve">TRG-18</t>
  </si>
  <si>
    <t xml:space="preserve">Performance reviews are conducted at least annually with documented goals and development plan</t>
  </si>
  <si>
    <t xml:space="preserve">• Review on file
• Goals documented</t>
  </si>
  <si>
    <t xml:space="preserve">TRG-19</t>
  </si>
  <si>
    <t xml:space="preserve">Training compliance KPI (% staff fully trained against the matrix) is reported monthly to EMT</t>
  </si>
  <si>
    <t xml:space="preserve">HR-14 s.5.5 / s.5.6</t>
  </si>
  <si>
    <t xml:space="preserve">• KPI dashboard
• EMT minutes</t>
  </si>
  <si>
    <t xml:space="preserve">TRG-20</t>
  </si>
  <si>
    <t xml:space="preserve">Where training gaps are identified, an action plan with named owner and target date is in place</t>
  </si>
  <si>
    <t xml:space="preserve">• Gap action log
• Closure evidence</t>
  </si>
  <si>
    <t xml:space="preserve">TRG-21</t>
  </si>
  <si>
    <t xml:space="preserve">Staff providing prompting / specialist support hold the specific competencies required (e.g. dementia, palliative, end-of-life)</t>
  </si>
  <si>
    <t xml:space="preserve">HR-14 s.9.0; CARE-26</t>
  </si>
  <si>
    <t xml:space="preserve">• Competency tag in matrix
• Allocation against competency</t>
  </si>
  <si>
    <t xml:space="preserve">TRG-22</t>
  </si>
  <si>
    <t xml:space="preserve">Recruitment processes are documented and fair (job spec, interview panel, scoring)</t>
  </si>
  <si>
    <t xml:space="preserve">HR-29 s.6.0 - s.9.0</t>
  </si>
  <si>
    <t xml:space="preserve">• Recruitment files
• Interview score sheets</t>
  </si>
  <si>
    <t xml:space="preserve">TRG-23</t>
  </si>
  <si>
    <t xml:space="preserve">Where staff fail competency assessment, a remediation plan is implemented and re-assessment scheduled</t>
  </si>
  <si>
    <t xml:space="preserve">• Remediation plans
• Re-assessment outcomes</t>
  </si>
  <si>
    <t xml:space="preserve">TRG-24</t>
  </si>
  <si>
    <t xml:space="preserve">Conflicts of interest declared by staff are recorded and managed</t>
  </si>
  <si>
    <t xml:space="preserve">HR-38; HR-29</t>
  </si>
  <si>
    <t xml:space="preserve">• Conflict register
• Allocation adjustments</t>
  </si>
  <si>
    <t xml:space="preserve">TRG-25</t>
  </si>
  <si>
    <t xml:space="preserve">Exit reviews are conducted for leavers and themes inform retention</t>
  </si>
  <si>
    <t xml:space="preserve">HR-29 (retention)</t>
  </si>
  <si>
    <t xml:space="preserve">• Exit interview records
• Themes report</t>
  </si>
</sst>
</file>

<file path=xl/styles.xml><?xml version="1.0" encoding="utf-8"?>
<styleSheet xmlns="http://schemas.openxmlformats.org/spreadsheetml/2006/main">
  <numFmts count="4">
    <numFmt numFmtId="164" formatCode="General"/>
    <numFmt numFmtId="165" formatCode="dd\-mmm\-yyyy"/>
    <numFmt numFmtId="166" formatCode="0.0%"/>
    <numFmt numFmtId="167" formatCode="0"/>
  </numFmts>
  <fonts count="37">
    <font>
      <sz val="11"/>
      <color theme="1"/>
      <name val="Calibri"/>
      <family val="2"/>
      <charset val="1"/>
    </font>
    <font>
      <sz val="10"/>
      <name val="Arial"/>
      <family val="0"/>
    </font>
    <font>
      <sz val="10"/>
      <name val="Arial"/>
      <family val="0"/>
    </font>
    <font>
      <sz val="10"/>
      <name val="Arial"/>
      <family val="0"/>
    </font>
    <font>
      <b val="true"/>
      <sz val="20"/>
      <color rgb="FF1F4E79"/>
      <name val="Arial"/>
      <family val="0"/>
      <charset val="1"/>
    </font>
    <font>
      <i val="true"/>
      <sz val="11"/>
      <color rgb="FF595959"/>
      <name val="Arial"/>
      <family val="0"/>
      <charset val="1"/>
    </font>
    <font>
      <b val="true"/>
      <sz val="14"/>
      <color rgb="FFFFFFFF"/>
      <name val="Arial"/>
      <family val="0"/>
      <charset val="1"/>
    </font>
    <font>
      <sz val="10"/>
      <name val="Arial"/>
      <family val="0"/>
      <charset val="1"/>
    </font>
    <font>
      <b val="true"/>
      <sz val="11"/>
      <color rgb="FFFFFFFF"/>
      <name val="Arial"/>
      <family val="0"/>
      <charset val="1"/>
    </font>
    <font>
      <b val="true"/>
      <sz val="10"/>
      <color rgb="FFFFFFFF"/>
      <name val="Arial"/>
      <family val="0"/>
      <charset val="1"/>
    </font>
    <font>
      <b val="true"/>
      <sz val="11"/>
      <name val="Arial"/>
      <family val="0"/>
      <charset val="1"/>
    </font>
    <font>
      <b val="true"/>
      <sz val="10"/>
      <name val="Arial"/>
      <family val="0"/>
      <charset val="1"/>
    </font>
    <font>
      <b val="true"/>
      <sz val="18"/>
      <color rgb="FFFFFFFF"/>
      <name val="Arial"/>
      <family val="0"/>
      <charset val="1"/>
    </font>
    <font>
      <b val="true"/>
      <sz val="10"/>
      <color rgb="FF595959"/>
      <name val="Arial"/>
      <family val="0"/>
      <charset val="1"/>
    </font>
    <font>
      <i val="true"/>
      <sz val="10"/>
      <color rgb="FFC62828"/>
      <name val="Arial"/>
      <family val="0"/>
      <charset val="1"/>
    </font>
    <font>
      <b val="true"/>
      <sz val="12"/>
      <color rgb="FFFFFFFF"/>
      <name val="Arial"/>
      <family val="0"/>
      <charset val="1"/>
    </font>
    <font>
      <i val="true"/>
      <sz val="10"/>
      <name val="Arial"/>
      <family val="0"/>
      <charset val="1"/>
    </font>
    <font>
      <b val="true"/>
      <sz val="10"/>
      <color rgb="FF2E7D32"/>
      <name val="Arial"/>
      <family val="0"/>
      <charset val="1"/>
    </font>
    <font>
      <i val="true"/>
      <sz val="9"/>
      <color rgb="FF595959"/>
      <name val="Arial"/>
      <family val="0"/>
      <charset val="1"/>
    </font>
    <font>
      <b val="true"/>
      <sz val="14"/>
      <color rgb="FF2E7D32"/>
      <name val="Arial"/>
      <family val="0"/>
      <charset val="1"/>
    </font>
    <font>
      <b val="true"/>
      <sz val="12"/>
      <name val="Arial"/>
      <family val="0"/>
      <charset val="1"/>
    </font>
    <font>
      <b val="true"/>
      <sz val="10"/>
      <color rgb="FFC62828"/>
      <name val="Arial"/>
      <family val="0"/>
      <charset val="1"/>
    </font>
    <font>
      <b val="true"/>
      <sz val="14"/>
      <color rgb="FFC62828"/>
      <name val="Arial"/>
      <family val="0"/>
      <charset val="1"/>
    </font>
    <font>
      <b val="true"/>
      <sz val="10"/>
      <color rgb="FF00838F"/>
      <name val="Arial"/>
      <family val="0"/>
      <charset val="1"/>
    </font>
    <font>
      <b val="true"/>
      <sz val="14"/>
      <color rgb="FF00838F"/>
      <name val="Arial"/>
      <family val="0"/>
      <charset val="1"/>
    </font>
    <font>
      <b val="true"/>
      <sz val="10"/>
      <color rgb="FFB71C1C"/>
      <name val="Arial"/>
      <family val="0"/>
      <charset val="1"/>
    </font>
    <font>
      <b val="true"/>
      <sz val="14"/>
      <color rgb="FFB71C1C"/>
      <name val="Arial"/>
      <family val="0"/>
      <charset val="1"/>
    </font>
    <font>
      <b val="true"/>
      <sz val="10"/>
      <color rgb="FFE65100"/>
      <name val="Arial"/>
      <family val="0"/>
      <charset val="1"/>
    </font>
    <font>
      <b val="true"/>
      <sz val="14"/>
      <color rgb="FFE65100"/>
      <name val="Arial"/>
      <family val="0"/>
      <charset val="1"/>
    </font>
    <font>
      <b val="true"/>
      <sz val="10"/>
      <color rgb="FF6A1B9A"/>
      <name val="Arial"/>
      <family val="0"/>
      <charset val="1"/>
    </font>
    <font>
      <b val="true"/>
      <sz val="14"/>
      <color rgb="FF6A1B9A"/>
      <name val="Arial"/>
      <family val="0"/>
      <charset val="1"/>
    </font>
    <font>
      <b val="true"/>
      <sz val="10"/>
      <color rgb="FF5D4037"/>
      <name val="Arial"/>
      <family val="0"/>
      <charset val="1"/>
    </font>
    <font>
      <b val="true"/>
      <sz val="14"/>
      <color rgb="FF5D4037"/>
      <name val="Arial"/>
      <family val="0"/>
      <charset val="1"/>
    </font>
    <font>
      <b val="true"/>
      <sz val="10"/>
      <color rgb="FF1F4E79"/>
      <name val="Arial"/>
      <family val="0"/>
      <charset val="1"/>
    </font>
    <font>
      <b val="true"/>
      <sz val="14"/>
      <color rgb="FF1F4E79"/>
      <name val="Arial"/>
      <family val="0"/>
      <charset val="1"/>
    </font>
    <font>
      <b val="true"/>
      <sz val="10"/>
      <color rgb="FF6A8E2C"/>
      <name val="Arial"/>
      <family val="0"/>
      <charset val="1"/>
    </font>
    <font>
      <b val="true"/>
      <sz val="14"/>
      <color rgb="FF6A8E2C"/>
      <name val="Arial"/>
      <family val="0"/>
      <charset val="1"/>
    </font>
  </fonts>
  <fills count="14">
    <fill>
      <patternFill patternType="none"/>
    </fill>
    <fill>
      <patternFill patternType="gray125"/>
    </fill>
    <fill>
      <patternFill patternType="solid">
        <fgColor rgb="FF1F4E79"/>
        <bgColor rgb="FF003366"/>
      </patternFill>
    </fill>
    <fill>
      <patternFill patternType="solid">
        <fgColor rgb="FF2E7D32"/>
        <bgColor rgb="FF33691E"/>
      </patternFill>
    </fill>
    <fill>
      <patternFill patternType="solid">
        <fgColor rgb="FFC62828"/>
        <bgColor rgb="FFB71C1C"/>
      </patternFill>
    </fill>
    <fill>
      <patternFill patternType="solid">
        <fgColor rgb="FF00838F"/>
        <bgColor rgb="FF0066CC"/>
      </patternFill>
    </fill>
    <fill>
      <patternFill patternType="solid">
        <fgColor rgb="FFB71C1C"/>
        <bgColor rgb="FFC62828"/>
      </patternFill>
    </fill>
    <fill>
      <patternFill patternType="solid">
        <fgColor rgb="FFE65100"/>
        <bgColor rgb="FFC62828"/>
      </patternFill>
    </fill>
    <fill>
      <patternFill patternType="solid">
        <fgColor rgb="FF6A1B9A"/>
        <bgColor rgb="FF800080"/>
      </patternFill>
    </fill>
    <fill>
      <patternFill patternType="solid">
        <fgColor rgb="FF5D4037"/>
        <bgColor rgb="FF404040"/>
      </patternFill>
    </fill>
    <fill>
      <patternFill patternType="solid">
        <fgColor rgb="FF6A8E2C"/>
        <bgColor rgb="FF808080"/>
      </patternFill>
    </fill>
    <fill>
      <patternFill patternType="solid">
        <fgColor rgb="FFF2F2F2"/>
        <bgColor rgb="FFFFFDE7"/>
      </patternFill>
    </fill>
    <fill>
      <patternFill patternType="solid">
        <fgColor rgb="FFFFFDE7"/>
        <bgColor rgb="FFFFFFFF"/>
      </patternFill>
    </fill>
    <fill>
      <patternFill patternType="solid">
        <fgColor rgb="FF404040"/>
        <bgColor rgb="FF5D4037"/>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left" vertical="top"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right"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false" indent="1" shrinkToFit="false"/>
      <protection locked="true" hidden="false"/>
    </xf>
    <xf numFmtId="164" fontId="14" fillId="0" borderId="2" xfId="0" applyFont="true" applyBorder="true" applyAlignment="true" applyProtection="false">
      <alignment horizontal="left" vertical="center" textRotation="0" wrapText="false" indent="1" shrinkToFit="false"/>
      <protection locked="true" hidden="false"/>
    </xf>
    <xf numFmtId="164" fontId="15" fillId="3" borderId="0"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right" vertical="top" textRotation="0" wrapText="fals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16" fillId="12" borderId="2" xfId="0" applyFont="true" applyBorder="true" applyAlignment="true" applyProtection="false">
      <alignment horizontal="left" vertical="center" textRotation="0" wrapText="true" indent="1"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6"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4" fillId="0" borderId="3" xfId="0" applyFont="true" applyBorder="true" applyAlignment="true" applyProtection="false">
      <alignment horizontal="left" vertical="top"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6" fontId="22" fillId="0" borderId="1"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5" fillId="5" borderId="0"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6" fontId="24" fillId="0" borderId="1"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6" fontId="26" fillId="0" borderId="1"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5" fillId="7" borderId="0"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6" fontId="28" fillId="0" borderId="1"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15" fillId="8" borderId="0"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true" indent="0" shrinkToFit="false"/>
      <protection locked="true" hidden="false"/>
    </xf>
    <xf numFmtId="166" fontId="30" fillId="0" borderId="1" xfId="0" applyFont="true" applyBorder="true" applyAlignment="true" applyProtection="false">
      <alignment horizontal="center" vertical="center" textRotation="0" wrapText="true" indent="0" shrinkToFit="false"/>
      <protection locked="true" hidden="false"/>
    </xf>
    <xf numFmtId="164" fontId="12" fillId="9" borderId="0" xfId="0" applyFont="true" applyBorder="true" applyAlignment="true" applyProtection="false">
      <alignment horizontal="center" vertical="center" textRotation="0" wrapText="true" indent="0" shrinkToFit="false"/>
      <protection locked="true" hidden="false"/>
    </xf>
    <xf numFmtId="164" fontId="15" fillId="9" borderId="0"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6" fontId="32" fillId="0"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true" indent="0" shrinkToFit="false"/>
      <protection locked="true" hidden="false"/>
    </xf>
    <xf numFmtId="166" fontId="34" fillId="0" borderId="1" xfId="0" applyFont="true" applyBorder="true" applyAlignment="true" applyProtection="false">
      <alignment horizontal="center" vertical="center" textRotation="0" wrapText="true" indent="0" shrinkToFit="false"/>
      <protection locked="true" hidden="false"/>
    </xf>
    <xf numFmtId="164" fontId="12" fillId="10" borderId="0" xfId="0" applyFont="true" applyBorder="true" applyAlignment="true" applyProtection="false">
      <alignment horizontal="center" vertical="center" textRotation="0" wrapText="true" indent="0" shrinkToFit="false"/>
      <protection locked="true" hidden="false"/>
    </xf>
    <xf numFmtId="164" fontId="15" fillId="10" borderId="0"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35" fillId="0" borderId="1" xfId="0" applyFont="true" applyBorder="true" applyAlignment="true" applyProtection="false">
      <alignment horizontal="center" vertical="center" textRotation="0" wrapText="true" indent="0" shrinkToFit="false"/>
      <protection locked="true" hidden="false"/>
    </xf>
    <xf numFmtId="166" fontId="3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1B5E20"/>
        <sz val="10"/>
      </font>
      <fill>
        <patternFill>
          <bgColor rgb="FFC8E6C9"/>
        </patternFill>
      </fill>
    </dxf>
    <dxf>
      <font>
        <name val="Arial"/>
        <charset val="1"/>
        <family val="0"/>
        <b val="1"/>
        <color rgb="FF33691E"/>
        <sz val="10"/>
      </font>
      <fill>
        <patternFill>
          <bgColor rgb="FFDCEDC8"/>
        </patternFill>
      </fill>
    </dxf>
    <dxf>
      <font>
        <name val="Arial"/>
        <charset val="1"/>
        <family val="0"/>
        <b val="1"/>
        <color rgb="FFE65100"/>
        <sz val="10"/>
      </font>
      <fill>
        <patternFill>
          <bgColor rgb="FFFFE0B2"/>
        </patternFill>
      </fill>
    </dxf>
    <dxf>
      <font>
        <name val="Arial"/>
        <charset val="1"/>
        <family val="0"/>
        <b val="1"/>
        <color rgb="FFB71C1C"/>
        <sz val="10"/>
      </font>
      <fill>
        <patternFill>
          <bgColor rgb="FFFFCDD2"/>
        </patternFill>
      </fill>
    </dxf>
    <dxf>
      <font>
        <name val="Arial"/>
        <charset val="1"/>
        <family val="0"/>
        <b val="1"/>
        <color rgb="FF795548"/>
        <sz val="10"/>
      </font>
      <fill>
        <patternFill>
          <bgColor rgb="FFFFF59D"/>
        </patternFill>
      </fill>
    </dxf>
    <dxf>
      <font>
        <name val="Arial"/>
        <charset val="1"/>
        <family val="0"/>
        <b val="1"/>
        <color rgb="FF1B5E20"/>
        <sz val="12"/>
      </font>
      <fill>
        <patternFill>
          <bgColor rgb="FFC8E6C9"/>
        </patternFill>
      </fill>
    </dxf>
    <dxf>
      <font>
        <name val="Arial"/>
        <charset val="1"/>
        <family val="0"/>
        <b val="1"/>
        <color rgb="FF33691E"/>
        <sz val="12"/>
      </font>
      <fill>
        <patternFill>
          <bgColor rgb="FFDCEDC8"/>
        </patternFill>
      </fill>
    </dxf>
    <dxf>
      <font>
        <name val="Arial"/>
        <charset val="1"/>
        <family val="0"/>
        <b val="1"/>
        <color rgb="FFE65100"/>
        <sz val="12"/>
      </font>
      <fill>
        <patternFill>
          <bgColor rgb="FFFFE0B2"/>
        </patternFill>
      </fill>
    </dxf>
    <dxf>
      <font>
        <name val="Arial"/>
        <charset val="1"/>
        <family val="0"/>
        <b val="1"/>
        <color rgb="FFB71C1C"/>
        <sz val="12"/>
      </font>
      <fill>
        <patternFill>
          <bgColor rgb="FFFFCDD2"/>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6A8E2C"/>
      <rgbColor rgb="FF6A1B9A"/>
      <rgbColor rgb="FF00838F"/>
      <rgbColor rgb="FFBFBFBF"/>
      <rgbColor rgb="FF808080"/>
      <rgbColor rgb="FF9999FF"/>
      <rgbColor rgb="FF795548"/>
      <rgbColor rgb="FFFFFDE7"/>
      <rgbColor rgb="FFF2F2F2"/>
      <rgbColor rgb="FF660066"/>
      <rgbColor rgb="FFFF8080"/>
      <rgbColor rgb="FF0066CC"/>
      <rgbColor rgb="FFFFCDD2"/>
      <rgbColor rgb="FF000080"/>
      <rgbColor rgb="FFFF00FF"/>
      <rgbColor rgb="FFFFFF00"/>
      <rgbColor rgb="FF00FFFF"/>
      <rgbColor rgb="FF800080"/>
      <rgbColor rgb="FF800000"/>
      <rgbColor rgb="FF33691E"/>
      <rgbColor rgb="FF0000FF"/>
      <rgbColor rgb="FF00CCFF"/>
      <rgbColor rgb="FFC8E6C9"/>
      <rgbColor rgb="FFDCEDC8"/>
      <rgbColor rgb="FFFFF59D"/>
      <rgbColor rgb="FF99CCFF"/>
      <rgbColor rgb="FFFF99CC"/>
      <rgbColor rgb="FFCC99FF"/>
      <rgbColor rgb="FFFFE0B2"/>
      <rgbColor rgb="FF3366FF"/>
      <rgbColor rgb="FF33CCCC"/>
      <rgbColor rgb="FF99CC00"/>
      <rgbColor rgb="FFFFCC00"/>
      <rgbColor rgb="FFFF9900"/>
      <rgbColor rgb="FFE65100"/>
      <rgbColor rgb="FF595959"/>
      <rgbColor rgb="FF969696"/>
      <rgbColor rgb="FF003366"/>
      <rgbColor rgb="FF2E7D32"/>
      <rgbColor rgb="FF003300"/>
      <rgbColor rgb="FF5D4037"/>
      <rgbColor rgb="FFB71C1C"/>
      <rgbColor rgb="FFC62828"/>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B2:I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6"/>
    <col collapsed="false" customWidth="true" hidden="false" outlineLevel="0" max="4" min="4" style="0" width="22"/>
    <col collapsed="false" customWidth="true" hidden="false" outlineLevel="0" max="5" min="5" style="0" width="14"/>
    <col collapsed="false" customWidth="true" hidden="false" outlineLevel="0" max="6" min="6" style="0" width="16"/>
    <col collapsed="false" customWidth="true" hidden="false" outlineLevel="0" max="8" min="7" style="0" width="18"/>
    <col collapsed="false" customWidth="true" hidden="false" outlineLevel="0" max="9" min="9" style="0" width="22"/>
  </cols>
  <sheetData>
    <row r="2" customFormat="false" ht="24.45" hidden="false" customHeight="fals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25.5" hidden="false" customHeight="true" outlineLevel="0" collapsed="false">
      <c r="B5" s="3" t="s">
        <v>2</v>
      </c>
      <c r="C5" s="3"/>
      <c r="D5" s="3"/>
      <c r="E5" s="3"/>
      <c r="F5" s="3"/>
      <c r="G5" s="3"/>
      <c r="H5" s="3"/>
    </row>
    <row r="6" customFormat="false" ht="21.75" hidden="false" customHeight="true" outlineLevel="0" collapsed="false">
      <c r="B6" s="4" t="s">
        <v>3</v>
      </c>
      <c r="C6" s="4"/>
      <c r="D6" s="4"/>
      <c r="E6" s="4"/>
      <c r="F6" s="4"/>
      <c r="G6" s="4"/>
      <c r="H6" s="4"/>
    </row>
    <row r="7" customFormat="false" ht="21.75" hidden="false" customHeight="true" outlineLevel="0" collapsed="false">
      <c r="B7" s="4" t="s">
        <v>4</v>
      </c>
      <c r="C7" s="4"/>
      <c r="D7" s="4"/>
      <c r="E7" s="4"/>
      <c r="F7" s="4"/>
      <c r="G7" s="4"/>
      <c r="H7" s="4"/>
    </row>
    <row r="8" customFormat="false" ht="21.75" hidden="false" customHeight="true" outlineLevel="0" collapsed="false">
      <c r="B8" s="4" t="s">
        <v>5</v>
      </c>
      <c r="C8" s="4"/>
      <c r="D8" s="4"/>
      <c r="E8" s="4"/>
      <c r="F8" s="4"/>
      <c r="G8" s="4"/>
      <c r="H8" s="4"/>
    </row>
    <row r="9" customFormat="false" ht="21.75" hidden="false" customHeight="true" outlineLevel="0" collapsed="false">
      <c r="B9" s="4" t="s">
        <v>6</v>
      </c>
      <c r="C9" s="4"/>
      <c r="D9" s="4"/>
      <c r="E9" s="4"/>
      <c r="F9" s="4"/>
      <c r="G9" s="4"/>
      <c r="H9" s="4"/>
    </row>
    <row r="10" customFormat="false" ht="21.75" hidden="false" customHeight="true" outlineLevel="0" collapsed="false">
      <c r="B10" s="4" t="s">
        <v>7</v>
      </c>
      <c r="C10" s="4"/>
      <c r="D10" s="4"/>
      <c r="E10" s="4"/>
      <c r="F10" s="4"/>
      <c r="G10" s="4"/>
      <c r="H10" s="4"/>
    </row>
    <row r="12" customFormat="false" ht="25.5" hidden="false" customHeight="true" outlineLevel="0" collapsed="false">
      <c r="B12" s="3" t="s">
        <v>8</v>
      </c>
      <c r="C12" s="3"/>
      <c r="D12" s="3"/>
      <c r="E12" s="3"/>
      <c r="F12" s="3"/>
      <c r="G12" s="3"/>
      <c r="H12" s="3"/>
    </row>
    <row r="13" customFormat="false" ht="30" hidden="false" customHeight="true" outlineLevel="0" collapsed="false">
      <c r="B13" s="5" t="s">
        <v>9</v>
      </c>
      <c r="C13" s="5" t="s">
        <v>10</v>
      </c>
      <c r="D13" s="5" t="s">
        <v>11</v>
      </c>
      <c r="E13" s="5" t="s">
        <v>12</v>
      </c>
      <c r="F13" s="5" t="s">
        <v>13</v>
      </c>
      <c r="G13" s="5" t="s">
        <v>14</v>
      </c>
      <c r="H13" s="5" t="s">
        <v>15</v>
      </c>
      <c r="I13" s="5" t="s">
        <v>16</v>
      </c>
    </row>
    <row r="14" customFormat="false" ht="30" hidden="false" customHeight="true" outlineLevel="0" collapsed="false">
      <c r="B14" s="6" t="s">
        <v>17</v>
      </c>
      <c r="C14" s="7" t="s">
        <v>18</v>
      </c>
      <c r="D14" s="7" t="s">
        <v>19</v>
      </c>
      <c r="E14" s="7" t="s">
        <v>20</v>
      </c>
      <c r="F14" s="7" t="s">
        <v>21</v>
      </c>
      <c r="G14" s="8"/>
      <c r="H14" s="9" t="str">
        <f aca="false">'CP-01 Care Plan Audit'!F46</f>
        <v/>
      </c>
      <c r="I14" s="10" t="str">
        <f aca="false">'CP-01 Care Plan Audit'!H46</f>
        <v/>
      </c>
    </row>
    <row r="15" customFormat="false" ht="30" hidden="false" customHeight="true" outlineLevel="0" collapsed="false">
      <c r="B15" s="11" t="s">
        <v>22</v>
      </c>
      <c r="C15" s="7" t="s">
        <v>23</v>
      </c>
      <c r="D15" s="7" t="s">
        <v>24</v>
      </c>
      <c r="E15" s="7" t="s">
        <v>25</v>
      </c>
      <c r="F15" s="7" t="s">
        <v>26</v>
      </c>
      <c r="G15" s="8"/>
      <c r="H15" s="9" t="str">
        <f aca="false">'MED-01 Medication Prompting Aud'!F44</f>
        <v/>
      </c>
      <c r="I15" s="10" t="str">
        <f aca="false">'MED-01 Medication Prompting Aud'!H44</f>
        <v/>
      </c>
    </row>
    <row r="16" customFormat="false" ht="30" hidden="false" customHeight="true" outlineLevel="0" collapsed="false">
      <c r="B16" s="12" t="s">
        <v>27</v>
      </c>
      <c r="C16" s="7" t="s">
        <v>28</v>
      </c>
      <c r="D16" s="7" t="s">
        <v>29</v>
      </c>
      <c r="E16" s="7" t="s">
        <v>30</v>
      </c>
      <c r="F16" s="7" t="s">
        <v>31</v>
      </c>
      <c r="G16" s="8"/>
      <c r="H16" s="9" t="str">
        <f aca="false">'IPC-01 Infection Prevention and'!F45</f>
        <v/>
      </c>
      <c r="I16" s="10" t="str">
        <f aca="false">'IPC-01 Infection Prevention and'!H45</f>
        <v/>
      </c>
    </row>
    <row r="17" customFormat="false" ht="30" hidden="false" customHeight="true" outlineLevel="0" collapsed="false">
      <c r="B17" s="13" t="s">
        <v>32</v>
      </c>
      <c r="C17" s="7" t="s">
        <v>33</v>
      </c>
      <c r="D17" s="7" t="s">
        <v>34</v>
      </c>
      <c r="E17" s="7" t="s">
        <v>35</v>
      </c>
      <c r="F17" s="7" t="s">
        <v>36</v>
      </c>
      <c r="G17" s="8"/>
      <c r="H17" s="9" t="str">
        <f aca="false">'SG-01 Safeguarding Audit'!F47</f>
        <v/>
      </c>
      <c r="I17" s="10" t="str">
        <f aca="false">'SG-01 Safeguarding Audit'!H47</f>
        <v/>
      </c>
    </row>
    <row r="18" customFormat="false" ht="30" hidden="false" customHeight="true" outlineLevel="0" collapsed="false">
      <c r="B18" s="12" t="s">
        <v>37</v>
      </c>
      <c r="C18" s="7" t="s">
        <v>38</v>
      </c>
      <c r="D18" s="7" t="s">
        <v>39</v>
      </c>
      <c r="E18" s="7" t="s">
        <v>40</v>
      </c>
      <c r="F18" s="7" t="s">
        <v>41</v>
      </c>
      <c r="G18" s="8"/>
      <c r="H18" s="9" t="str">
        <f aca="false">'CMP-01 Complaints Handling Audi'!F46</f>
        <v/>
      </c>
      <c r="I18" s="10" t="str">
        <f aca="false">'CMP-01 Complaints Handling Audi'!H46</f>
        <v/>
      </c>
    </row>
    <row r="19" customFormat="false" ht="30" hidden="false" customHeight="true" outlineLevel="0" collapsed="false">
      <c r="B19" s="14" t="s">
        <v>42</v>
      </c>
      <c r="C19" s="7" t="s">
        <v>43</v>
      </c>
      <c r="D19" s="7" t="s">
        <v>44</v>
      </c>
      <c r="E19" s="7" t="s">
        <v>45</v>
      </c>
      <c r="F19" s="7" t="s">
        <v>46</v>
      </c>
      <c r="G19" s="8"/>
      <c r="H19" s="9" t="str">
        <f aca="false">'FIN-01 Financial Protection Aud'!F44</f>
        <v/>
      </c>
      <c r="I19" s="10" t="str">
        <f aca="false">'FIN-01 Financial Protection Aud'!H44</f>
        <v/>
      </c>
    </row>
    <row r="20" customFormat="false" ht="30" hidden="false" customHeight="true" outlineLevel="0" collapsed="false">
      <c r="B20" s="15" t="s">
        <v>47</v>
      </c>
      <c r="C20" s="7" t="s">
        <v>48</v>
      </c>
      <c r="D20" s="7" t="s">
        <v>49</v>
      </c>
      <c r="E20" s="7" t="s">
        <v>50</v>
      </c>
      <c r="F20" s="7" t="s">
        <v>51</v>
      </c>
      <c r="G20" s="8"/>
      <c r="H20" s="9" t="str">
        <f aca="false">'LW-01 Lone Worker Audit'!F44</f>
        <v/>
      </c>
      <c r="I20" s="10" t="str">
        <f aca="false">'LW-01 Lone Worker Audit'!H44</f>
        <v/>
      </c>
    </row>
    <row r="21" customFormat="false" ht="30" hidden="false" customHeight="true" outlineLevel="0" collapsed="false">
      <c r="B21" s="16" t="s">
        <v>52</v>
      </c>
      <c r="C21" s="7" t="s">
        <v>53</v>
      </c>
      <c r="D21" s="7" t="s">
        <v>54</v>
      </c>
      <c r="E21" s="7" t="s">
        <v>55</v>
      </c>
      <c r="F21" s="7" t="s">
        <v>56</v>
      </c>
      <c r="G21" s="8"/>
      <c r="H21" s="9" t="str">
        <f aca="false">'ENV-01 Environmental Safety Aud'!F46</f>
        <v/>
      </c>
      <c r="I21" s="10" t="str">
        <f aca="false">'ENV-01 Environmental Safety Aud'!H46</f>
        <v/>
      </c>
    </row>
    <row r="22" customFormat="false" ht="30" hidden="false" customHeight="true" outlineLevel="0" collapsed="false">
      <c r="B22" s="17" t="s">
        <v>57</v>
      </c>
      <c r="C22" s="7" t="s">
        <v>58</v>
      </c>
      <c r="D22" s="7" t="s">
        <v>59</v>
      </c>
      <c r="E22" s="7" t="s">
        <v>60</v>
      </c>
      <c r="F22" s="7" t="s">
        <v>61</v>
      </c>
      <c r="G22" s="8"/>
      <c r="H22" s="9" t="str">
        <f aca="false">'REC-01 Record-Keeping and Data '!F46</f>
        <v/>
      </c>
      <c r="I22" s="10" t="str">
        <f aca="false">'REC-01 Record-Keeping and Data '!H46</f>
        <v/>
      </c>
    </row>
    <row r="23" customFormat="false" ht="30" hidden="false" customHeight="true" outlineLevel="0" collapsed="false">
      <c r="B23" s="18" t="s">
        <v>62</v>
      </c>
      <c r="C23" s="7" t="s">
        <v>63</v>
      </c>
      <c r="D23" s="7" t="s">
        <v>64</v>
      </c>
      <c r="E23" s="7" t="s">
        <v>65</v>
      </c>
      <c r="F23" s="7" t="s">
        <v>66</v>
      </c>
      <c r="G23" s="8"/>
      <c r="H23" s="9" t="str">
        <f aca="false">'TRG-01 Training and Competency '!F49</f>
        <v/>
      </c>
      <c r="I23" s="10" t="str">
        <f aca="false">'TRG-01 Training and Competency '!H49</f>
        <v/>
      </c>
    </row>
  </sheetData>
  <mergeCells count="9">
    <mergeCell ref="B2:H2"/>
    <mergeCell ref="B3:H3"/>
    <mergeCell ref="B5:H5"/>
    <mergeCell ref="B6:H6"/>
    <mergeCell ref="B7:H7"/>
    <mergeCell ref="B8:H8"/>
    <mergeCell ref="B9:H9"/>
    <mergeCell ref="B10:H10"/>
    <mergeCell ref="B12:H12"/>
  </mergeCells>
  <conditionalFormatting sqref="I14">
    <cfRule type="cellIs" priority="2" operator="equal" aboveAverage="0" equalAverage="0" bottom="0" percent="0" rank="0" text="" dxfId="0">
      <formula>"Compliant"</formula>
    </cfRule>
    <cfRule type="cellIs" priority="3" operator="equal" aboveAverage="0" equalAverage="0" bottom="0" percent="0" rank="0" text="" dxfId="1">
      <formula>"Substantially compliant"</formula>
    </cfRule>
    <cfRule type="cellIs" priority="4" operator="equal" aboveAverage="0" equalAverage="0" bottom="0" percent="0" rank="0" text="" dxfId="2">
      <formula>"Partially compliant"</formula>
    </cfRule>
    <cfRule type="cellIs" priority="5" operator="equal" aboveAverage="0" equalAverage="0" bottom="0" percent="0" rank="0" text="" dxfId="3">
      <formula>"Non-compliant"</formula>
    </cfRule>
  </conditionalFormatting>
  <conditionalFormatting sqref="I15">
    <cfRule type="cellIs" priority="6" operator="equal" aboveAverage="0" equalAverage="0" bottom="0" percent="0" rank="0" text="" dxfId="0">
      <formula>"Compliant"</formula>
    </cfRule>
    <cfRule type="cellIs" priority="7" operator="equal" aboveAverage="0" equalAverage="0" bottom="0" percent="0" rank="0" text="" dxfId="1">
      <formula>"Substantially compliant"</formula>
    </cfRule>
    <cfRule type="cellIs" priority="8" operator="equal" aboveAverage="0" equalAverage="0" bottom="0" percent="0" rank="0" text="" dxfId="2">
      <formula>"Partially compliant"</formula>
    </cfRule>
    <cfRule type="cellIs" priority="9" operator="equal" aboveAverage="0" equalAverage="0" bottom="0" percent="0" rank="0" text="" dxfId="3">
      <formula>"Non-compliant"</formula>
    </cfRule>
  </conditionalFormatting>
  <conditionalFormatting sqref="I16">
    <cfRule type="cellIs" priority="10" operator="equal" aboveAverage="0" equalAverage="0" bottom="0" percent="0" rank="0" text="" dxfId="0">
      <formula>"Compliant"</formula>
    </cfRule>
    <cfRule type="cellIs" priority="11" operator="equal" aboveAverage="0" equalAverage="0" bottom="0" percent="0" rank="0" text="" dxfId="1">
      <formula>"Substantially compliant"</formula>
    </cfRule>
    <cfRule type="cellIs" priority="12" operator="equal" aboveAverage="0" equalAverage="0" bottom="0" percent="0" rank="0" text="" dxfId="2">
      <formula>"Partially compliant"</formula>
    </cfRule>
    <cfRule type="cellIs" priority="13" operator="equal" aboveAverage="0" equalAverage="0" bottom="0" percent="0" rank="0" text="" dxfId="3">
      <formula>"Non-compliant"</formula>
    </cfRule>
  </conditionalFormatting>
  <conditionalFormatting sqref="I17">
    <cfRule type="cellIs" priority="14" operator="equal" aboveAverage="0" equalAverage="0" bottom="0" percent="0" rank="0" text="" dxfId="0">
      <formula>"Compliant"</formula>
    </cfRule>
    <cfRule type="cellIs" priority="15" operator="equal" aboveAverage="0" equalAverage="0" bottom="0" percent="0" rank="0" text="" dxfId="1">
      <formula>"Substantially compliant"</formula>
    </cfRule>
    <cfRule type="cellIs" priority="16" operator="equal" aboveAverage="0" equalAverage="0" bottom="0" percent="0" rank="0" text="" dxfId="2">
      <formula>"Partially compliant"</formula>
    </cfRule>
    <cfRule type="cellIs" priority="17" operator="equal" aboveAverage="0" equalAverage="0" bottom="0" percent="0" rank="0" text="" dxfId="3">
      <formula>"Non-compliant"</formula>
    </cfRule>
  </conditionalFormatting>
  <conditionalFormatting sqref="I18">
    <cfRule type="cellIs" priority="18" operator="equal" aboveAverage="0" equalAverage="0" bottom="0" percent="0" rank="0" text="" dxfId="0">
      <formula>"Compliant"</formula>
    </cfRule>
    <cfRule type="cellIs" priority="19" operator="equal" aboveAverage="0" equalAverage="0" bottom="0" percent="0" rank="0" text="" dxfId="1">
      <formula>"Substantially compliant"</formula>
    </cfRule>
    <cfRule type="cellIs" priority="20" operator="equal" aboveAverage="0" equalAverage="0" bottom="0" percent="0" rank="0" text="" dxfId="2">
      <formula>"Partially compliant"</formula>
    </cfRule>
    <cfRule type="cellIs" priority="21" operator="equal" aboveAverage="0" equalAverage="0" bottom="0" percent="0" rank="0" text="" dxfId="3">
      <formula>"Non-compliant"</formula>
    </cfRule>
  </conditionalFormatting>
  <conditionalFormatting sqref="I19">
    <cfRule type="cellIs" priority="22" operator="equal" aboveAverage="0" equalAverage="0" bottom="0" percent="0" rank="0" text="" dxfId="0">
      <formula>"Compliant"</formula>
    </cfRule>
    <cfRule type="cellIs" priority="23" operator="equal" aboveAverage="0" equalAverage="0" bottom="0" percent="0" rank="0" text="" dxfId="1">
      <formula>"Substantially compliant"</formula>
    </cfRule>
    <cfRule type="cellIs" priority="24" operator="equal" aboveAverage="0" equalAverage="0" bottom="0" percent="0" rank="0" text="" dxfId="2">
      <formula>"Partially compliant"</formula>
    </cfRule>
    <cfRule type="cellIs" priority="25" operator="equal" aboveAverage="0" equalAverage="0" bottom="0" percent="0" rank="0" text="" dxfId="3">
      <formula>"Non-compliant"</formula>
    </cfRule>
  </conditionalFormatting>
  <conditionalFormatting sqref="I20">
    <cfRule type="cellIs" priority="26" operator="equal" aboveAverage="0" equalAverage="0" bottom="0" percent="0" rank="0" text="" dxfId="0">
      <formula>"Compliant"</formula>
    </cfRule>
    <cfRule type="cellIs" priority="27" operator="equal" aboveAverage="0" equalAverage="0" bottom="0" percent="0" rank="0" text="" dxfId="1">
      <formula>"Substantially compliant"</formula>
    </cfRule>
    <cfRule type="cellIs" priority="28" operator="equal" aboveAverage="0" equalAverage="0" bottom="0" percent="0" rank="0" text="" dxfId="2">
      <formula>"Partially compliant"</formula>
    </cfRule>
    <cfRule type="cellIs" priority="29" operator="equal" aboveAverage="0" equalAverage="0" bottom="0" percent="0" rank="0" text="" dxfId="3">
      <formula>"Non-compliant"</formula>
    </cfRule>
  </conditionalFormatting>
  <conditionalFormatting sqref="I21">
    <cfRule type="cellIs" priority="30" operator="equal" aboveAverage="0" equalAverage="0" bottom="0" percent="0" rank="0" text="" dxfId="0">
      <formula>"Compliant"</formula>
    </cfRule>
    <cfRule type="cellIs" priority="31" operator="equal" aboveAverage="0" equalAverage="0" bottom="0" percent="0" rank="0" text="" dxfId="1">
      <formula>"Substantially compliant"</formula>
    </cfRule>
    <cfRule type="cellIs" priority="32" operator="equal" aboveAverage="0" equalAverage="0" bottom="0" percent="0" rank="0" text="" dxfId="2">
      <formula>"Partially compliant"</formula>
    </cfRule>
    <cfRule type="cellIs" priority="33" operator="equal" aboveAverage="0" equalAverage="0" bottom="0" percent="0" rank="0" text="" dxfId="3">
      <formula>"Non-compliant"</formula>
    </cfRule>
  </conditionalFormatting>
  <conditionalFormatting sqref="I22">
    <cfRule type="cellIs" priority="34" operator="equal" aboveAverage="0" equalAverage="0" bottom="0" percent="0" rank="0" text="" dxfId="0">
      <formula>"Compliant"</formula>
    </cfRule>
    <cfRule type="cellIs" priority="35" operator="equal" aboveAverage="0" equalAverage="0" bottom="0" percent="0" rank="0" text="" dxfId="1">
      <formula>"Substantially compliant"</formula>
    </cfRule>
    <cfRule type="cellIs" priority="36" operator="equal" aboveAverage="0" equalAverage="0" bottom="0" percent="0" rank="0" text="" dxfId="2">
      <formula>"Partially compliant"</formula>
    </cfRule>
    <cfRule type="cellIs" priority="37" operator="equal" aboveAverage="0" equalAverage="0" bottom="0" percent="0" rank="0" text="" dxfId="3">
      <formula>"Non-compliant"</formula>
    </cfRule>
  </conditionalFormatting>
  <conditionalFormatting sqref="I23">
    <cfRule type="cellIs" priority="38" operator="equal" aboveAverage="0" equalAverage="0" bottom="0" percent="0" rank="0" text="" dxfId="0">
      <formula>"Compliant"</formula>
    </cfRule>
    <cfRule type="cellIs" priority="39" operator="equal" aboveAverage="0" equalAverage="0" bottom="0" percent="0" rank="0" text="" dxfId="1">
      <formula>"Substantially compliant"</formula>
    </cfRule>
    <cfRule type="cellIs" priority="40" operator="equal" aboveAverage="0" equalAverage="0" bottom="0" percent="0" rank="0" text="" dxfId="2">
      <formula>"Partially compliant"</formula>
    </cfRule>
    <cfRule type="cellIs" priority="41" operator="equal" aboveAverage="0" equalAverage="0" bottom="0" percent="0" rank="0" text="" dxfId="3">
      <formula>"Non-compliant"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19" t="s">
        <v>67</v>
      </c>
      <c r="B1" s="19"/>
      <c r="C1" s="19"/>
      <c r="D1" s="19"/>
      <c r="E1" s="19"/>
      <c r="F1" s="19"/>
      <c r="G1" s="19"/>
      <c r="H1" s="19"/>
    </row>
    <row r="3" customFormat="false" ht="21.75" hidden="false" customHeight="true" outlineLevel="0" collapsed="false">
      <c r="A3" s="20" t="s">
        <v>68</v>
      </c>
      <c r="B3" s="21" t="s">
        <v>17</v>
      </c>
      <c r="C3" s="21"/>
      <c r="D3" s="21"/>
      <c r="E3" s="21"/>
      <c r="F3" s="21"/>
      <c r="G3" s="21"/>
      <c r="H3" s="21"/>
    </row>
    <row r="4" customFormat="false" ht="21.75" hidden="false" customHeight="true" outlineLevel="0" collapsed="false">
      <c r="A4" s="20" t="s">
        <v>69</v>
      </c>
      <c r="B4" s="21" t="s">
        <v>18</v>
      </c>
      <c r="C4" s="21"/>
      <c r="D4" s="21"/>
      <c r="E4" s="21"/>
      <c r="F4" s="21"/>
      <c r="G4" s="21"/>
      <c r="H4" s="21"/>
    </row>
    <row r="5" customFormat="false" ht="21.75" hidden="false" customHeight="true" outlineLevel="0" collapsed="false">
      <c r="A5" s="20" t="s">
        <v>11</v>
      </c>
      <c r="B5" s="21" t="s">
        <v>19</v>
      </c>
      <c r="C5" s="21"/>
      <c r="D5" s="21"/>
      <c r="E5" s="21"/>
      <c r="F5" s="21"/>
      <c r="G5" s="21"/>
      <c r="H5" s="21"/>
    </row>
    <row r="6" customFormat="false" ht="21.75" hidden="false" customHeight="true" outlineLevel="0" collapsed="false">
      <c r="A6" s="20" t="s">
        <v>12</v>
      </c>
      <c r="B6" s="21" t="s">
        <v>20</v>
      </c>
      <c r="C6" s="21"/>
      <c r="D6" s="21"/>
      <c r="E6" s="21"/>
      <c r="F6" s="21"/>
      <c r="G6" s="21"/>
      <c r="H6" s="21"/>
    </row>
    <row r="7" customFormat="false" ht="21.75" hidden="false" customHeight="true" outlineLevel="0" collapsed="false">
      <c r="A7" s="20" t="s">
        <v>13</v>
      </c>
      <c r="B7" s="21" t="s">
        <v>21</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23" t="s">
        <v>76</v>
      </c>
      <c r="B12" s="23"/>
      <c r="C12" s="23"/>
      <c r="D12" s="23"/>
      <c r="E12" s="23"/>
      <c r="F12" s="23"/>
      <c r="G12" s="23"/>
      <c r="H12" s="23"/>
    </row>
    <row r="13" customFormat="false" ht="39.75" hidden="false" customHeight="true" outlineLevel="0" collapsed="false">
      <c r="A13" s="24" t="s">
        <v>77</v>
      </c>
      <c r="B13" s="25" t="s">
        <v>78</v>
      </c>
      <c r="C13" s="25"/>
      <c r="D13" s="25"/>
      <c r="E13" s="25"/>
      <c r="F13" s="25"/>
      <c r="G13" s="25"/>
      <c r="H13" s="25"/>
    </row>
    <row r="14" customFormat="false" ht="111.75" hidden="false" customHeight="true" outlineLevel="0" collapsed="false">
      <c r="A14" s="24" t="s">
        <v>79</v>
      </c>
      <c r="B14" s="25" t="s">
        <v>80</v>
      </c>
      <c r="C14" s="25"/>
      <c r="D14" s="25"/>
      <c r="E14" s="25"/>
      <c r="F14" s="25"/>
      <c r="G14" s="25"/>
      <c r="H14" s="25"/>
    </row>
    <row r="15" customFormat="false" ht="187.5" hidden="false" customHeight="true" outlineLevel="0" collapsed="false">
      <c r="A15" s="24" t="s">
        <v>81</v>
      </c>
      <c r="B15" s="25" t="s">
        <v>82</v>
      </c>
      <c r="C15" s="25"/>
      <c r="D15" s="25"/>
      <c r="E15" s="25"/>
      <c r="F15" s="25"/>
      <c r="G15" s="25"/>
      <c r="H15" s="25"/>
    </row>
    <row r="17" customFormat="false" ht="31.5" hidden="false" customHeight="true" outlineLevel="0" collapsed="false">
      <c r="A17" s="23" t="s">
        <v>83</v>
      </c>
      <c r="B17" s="23"/>
      <c r="C17" s="23"/>
      <c r="D17" s="23"/>
      <c r="E17" s="23"/>
      <c r="F17" s="23"/>
      <c r="G17" s="23"/>
      <c r="H17" s="23"/>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23" t="s">
        <v>85</v>
      </c>
      <c r="B20" s="23"/>
      <c r="C20" s="23"/>
      <c r="D20" s="23"/>
      <c r="E20" s="23"/>
      <c r="F20" s="23"/>
      <c r="G20" s="23"/>
      <c r="H20" s="23"/>
    </row>
    <row r="21" customFormat="false" ht="36" hidden="false" customHeight="true" outlineLevel="0" collapsed="false">
      <c r="A21" s="27" t="s">
        <v>86</v>
      </c>
      <c r="B21" s="27" t="s">
        <v>87</v>
      </c>
      <c r="C21" s="27" t="s">
        <v>88</v>
      </c>
      <c r="D21" s="27" t="s">
        <v>89</v>
      </c>
      <c r="E21" s="27" t="s">
        <v>90</v>
      </c>
      <c r="F21" s="27" t="s">
        <v>91</v>
      </c>
      <c r="G21" s="27" t="s">
        <v>92</v>
      </c>
      <c r="H21" s="27" t="s">
        <v>93</v>
      </c>
    </row>
    <row r="22" customFormat="false" ht="39.75" hidden="false" customHeight="true" outlineLevel="0" collapsed="false">
      <c r="A22" s="28" t="s">
        <v>94</v>
      </c>
      <c r="B22" s="7" t="s">
        <v>95</v>
      </c>
      <c r="C22" s="29" t="s">
        <v>96</v>
      </c>
      <c r="D22" s="10" t="n">
        <v>5</v>
      </c>
      <c r="E22" s="29"/>
      <c r="F22" s="29" t="str">
        <f aca="false">IF(E22="","",IF(UPPER(E22)="N/A","N/A",D22*E22))</f>
        <v/>
      </c>
      <c r="G22" s="30" t="s">
        <v>97</v>
      </c>
      <c r="H22" s="7"/>
    </row>
    <row r="23" customFormat="false" ht="42" hidden="false" customHeight="true" outlineLevel="0" collapsed="false">
      <c r="A23" s="28" t="s">
        <v>98</v>
      </c>
      <c r="B23" s="7" t="s">
        <v>99</v>
      </c>
      <c r="C23" s="29" t="s">
        <v>100</v>
      </c>
      <c r="D23" s="10" t="n">
        <v>5</v>
      </c>
      <c r="E23" s="29"/>
      <c r="F23" s="29" t="str">
        <f aca="false">IF(E23="","",IF(UPPER(E23)="N/A","N/A",D23*E23))</f>
        <v/>
      </c>
      <c r="G23" s="30" t="s">
        <v>101</v>
      </c>
      <c r="H23" s="7"/>
    </row>
    <row r="24" customFormat="false" ht="39.75" hidden="false" customHeight="true" outlineLevel="0" collapsed="false">
      <c r="A24" s="28" t="s">
        <v>102</v>
      </c>
      <c r="B24" s="7" t="s">
        <v>103</v>
      </c>
      <c r="C24" s="29" t="s">
        <v>96</v>
      </c>
      <c r="D24" s="10" t="n">
        <v>5</v>
      </c>
      <c r="E24" s="29"/>
      <c r="F24" s="29" t="str">
        <f aca="false">IF(E24="","",IF(UPPER(E24)="N/A","N/A",D24*E24))</f>
        <v/>
      </c>
      <c r="G24" s="30" t="s">
        <v>104</v>
      </c>
      <c r="H24" s="7"/>
    </row>
    <row r="25" customFormat="false" ht="55.5" hidden="false" customHeight="true" outlineLevel="0" collapsed="false">
      <c r="A25" s="28" t="s">
        <v>105</v>
      </c>
      <c r="B25" s="7" t="s">
        <v>106</v>
      </c>
      <c r="C25" s="29" t="s">
        <v>107</v>
      </c>
      <c r="D25" s="10" t="n">
        <v>4</v>
      </c>
      <c r="E25" s="29"/>
      <c r="F25" s="29" t="str">
        <f aca="false">IF(E25="","",IF(UPPER(E25)="N/A","N/A",D25*E25))</f>
        <v/>
      </c>
      <c r="G25" s="30" t="s">
        <v>108</v>
      </c>
      <c r="H25" s="7"/>
    </row>
    <row r="26" customFormat="false" ht="42" hidden="false" customHeight="true" outlineLevel="0" collapsed="false">
      <c r="A26" s="28" t="s">
        <v>109</v>
      </c>
      <c r="B26" s="7" t="s">
        <v>110</v>
      </c>
      <c r="C26" s="29" t="s">
        <v>111</v>
      </c>
      <c r="D26" s="10" t="n">
        <v>3</v>
      </c>
      <c r="E26" s="29"/>
      <c r="F26" s="29" t="str">
        <f aca="false">IF(E26="","",IF(UPPER(E26)="N/A","N/A",D26*E26))</f>
        <v/>
      </c>
      <c r="G26" s="30" t="s">
        <v>112</v>
      </c>
      <c r="H26" s="7"/>
    </row>
    <row r="27" customFormat="false" ht="42" hidden="false" customHeight="true" outlineLevel="0" collapsed="false">
      <c r="A27" s="28" t="s">
        <v>113</v>
      </c>
      <c r="B27" s="7" t="s">
        <v>114</v>
      </c>
      <c r="C27" s="29" t="s">
        <v>115</v>
      </c>
      <c r="D27" s="10" t="n">
        <v>5</v>
      </c>
      <c r="E27" s="29"/>
      <c r="F27" s="29" t="str">
        <f aca="false">IF(E27="","",IF(UPPER(E27)="N/A","N/A",D27*E27))</f>
        <v/>
      </c>
      <c r="G27" s="30" t="s">
        <v>116</v>
      </c>
      <c r="H27" s="7"/>
    </row>
    <row r="28" customFormat="false" ht="42" hidden="false" customHeight="true" outlineLevel="0" collapsed="false">
      <c r="A28" s="28" t="s">
        <v>117</v>
      </c>
      <c r="B28" s="7" t="s">
        <v>118</v>
      </c>
      <c r="C28" s="29" t="s">
        <v>119</v>
      </c>
      <c r="D28" s="10" t="n">
        <v>5</v>
      </c>
      <c r="E28" s="29"/>
      <c r="F28" s="29" t="str">
        <f aca="false">IF(E28="","",IF(UPPER(E28)="N/A","N/A",D28*E28))</f>
        <v/>
      </c>
      <c r="G28" s="30" t="s">
        <v>120</v>
      </c>
      <c r="H28" s="7"/>
    </row>
    <row r="29" customFormat="false" ht="42" hidden="false" customHeight="true" outlineLevel="0" collapsed="false">
      <c r="A29" s="28" t="s">
        <v>121</v>
      </c>
      <c r="B29" s="7" t="s">
        <v>122</v>
      </c>
      <c r="C29" s="29" t="s">
        <v>123</v>
      </c>
      <c r="D29" s="10" t="n">
        <v>4</v>
      </c>
      <c r="E29" s="29"/>
      <c r="F29" s="29" t="str">
        <f aca="false">IF(E29="","",IF(UPPER(E29)="N/A","N/A",D29*E29))</f>
        <v/>
      </c>
      <c r="G29" s="30" t="s">
        <v>124</v>
      </c>
      <c r="H29" s="7"/>
    </row>
    <row r="30" customFormat="false" ht="42" hidden="false" customHeight="true" outlineLevel="0" collapsed="false">
      <c r="A30" s="28" t="s">
        <v>125</v>
      </c>
      <c r="B30" s="7" t="s">
        <v>126</v>
      </c>
      <c r="C30" s="29" t="s">
        <v>127</v>
      </c>
      <c r="D30" s="10" t="n">
        <v>5</v>
      </c>
      <c r="E30" s="29"/>
      <c r="F30" s="29" t="str">
        <f aca="false">IF(E30="","",IF(UPPER(E30)="N/A","N/A",D30*E30))</f>
        <v/>
      </c>
      <c r="G30" s="30" t="s">
        <v>128</v>
      </c>
      <c r="H30" s="7"/>
    </row>
    <row r="31" customFormat="false" ht="39.75" hidden="false" customHeight="true" outlineLevel="0" collapsed="false">
      <c r="A31" s="28" t="s">
        <v>129</v>
      </c>
      <c r="B31" s="7" t="s">
        <v>130</v>
      </c>
      <c r="C31" s="29" t="s">
        <v>131</v>
      </c>
      <c r="D31" s="10" t="n">
        <v>4</v>
      </c>
      <c r="E31" s="29"/>
      <c r="F31" s="29" t="str">
        <f aca="false">IF(E31="","",IF(UPPER(E31)="N/A","N/A",D31*E31))</f>
        <v/>
      </c>
      <c r="G31" s="30" t="s">
        <v>132</v>
      </c>
      <c r="H31" s="7"/>
    </row>
    <row r="32" customFormat="false" ht="39.75" hidden="false" customHeight="true" outlineLevel="0" collapsed="false">
      <c r="A32" s="28" t="s">
        <v>133</v>
      </c>
      <c r="B32" s="7" t="s">
        <v>134</v>
      </c>
      <c r="C32" s="29" t="s">
        <v>135</v>
      </c>
      <c r="D32" s="10" t="n">
        <v>3</v>
      </c>
      <c r="E32" s="29"/>
      <c r="F32" s="29" t="str">
        <f aca="false">IF(E32="","",IF(UPPER(E32)="N/A","N/A",D32*E32))</f>
        <v/>
      </c>
      <c r="G32" s="30" t="s">
        <v>136</v>
      </c>
      <c r="H32" s="7"/>
    </row>
    <row r="33" customFormat="false" ht="39.75" hidden="false" customHeight="true" outlineLevel="0" collapsed="false">
      <c r="A33" s="28" t="s">
        <v>137</v>
      </c>
      <c r="B33" s="7" t="s">
        <v>138</v>
      </c>
      <c r="C33" s="29" t="s">
        <v>139</v>
      </c>
      <c r="D33" s="10" t="n">
        <v>2</v>
      </c>
      <c r="E33" s="29"/>
      <c r="F33" s="29" t="str">
        <f aca="false">IF(E33="","",IF(UPPER(E33)="N/A","N/A",D33*E33))</f>
        <v/>
      </c>
      <c r="G33" s="30" t="s">
        <v>140</v>
      </c>
      <c r="H33" s="7"/>
    </row>
    <row r="34" customFormat="false" ht="42" hidden="false" customHeight="true" outlineLevel="0" collapsed="false">
      <c r="A34" s="28" t="s">
        <v>141</v>
      </c>
      <c r="B34" s="7" t="s">
        <v>142</v>
      </c>
      <c r="C34" s="29" t="s">
        <v>143</v>
      </c>
      <c r="D34" s="10" t="n">
        <v>4</v>
      </c>
      <c r="E34" s="29"/>
      <c r="F34" s="29" t="str">
        <f aca="false">IF(E34="","",IF(UPPER(E34)="N/A","N/A",D34*E34))</f>
        <v/>
      </c>
      <c r="G34" s="30" t="s">
        <v>144</v>
      </c>
      <c r="H34" s="7"/>
    </row>
    <row r="35" customFormat="false" ht="42" hidden="false" customHeight="true" outlineLevel="0" collapsed="false">
      <c r="A35" s="28" t="s">
        <v>145</v>
      </c>
      <c r="B35" s="7" t="s">
        <v>146</v>
      </c>
      <c r="C35" s="29" t="s">
        <v>147</v>
      </c>
      <c r="D35" s="10" t="n">
        <v>5</v>
      </c>
      <c r="E35" s="29"/>
      <c r="F35" s="29" t="str">
        <f aca="false">IF(E35="","",IF(UPPER(E35)="N/A","N/A",D35*E35))</f>
        <v/>
      </c>
      <c r="G35" s="30" t="s">
        <v>148</v>
      </c>
      <c r="H35" s="7"/>
    </row>
    <row r="36" customFormat="false" ht="42" hidden="false" customHeight="true" outlineLevel="0" collapsed="false">
      <c r="A36" s="28" t="s">
        <v>149</v>
      </c>
      <c r="B36" s="7" t="s">
        <v>150</v>
      </c>
      <c r="C36" s="29" t="s">
        <v>151</v>
      </c>
      <c r="D36" s="10" t="n">
        <v>3</v>
      </c>
      <c r="E36" s="29"/>
      <c r="F36" s="29" t="str">
        <f aca="false">IF(E36="","",IF(UPPER(E36)="N/A","N/A",D36*E36))</f>
        <v/>
      </c>
      <c r="G36" s="30" t="s">
        <v>152</v>
      </c>
      <c r="H36" s="7"/>
    </row>
    <row r="37" customFormat="false" ht="39.75" hidden="false" customHeight="true" outlineLevel="0" collapsed="false">
      <c r="A37" s="28" t="s">
        <v>153</v>
      </c>
      <c r="B37" s="7" t="s">
        <v>154</v>
      </c>
      <c r="C37" s="29" t="s">
        <v>155</v>
      </c>
      <c r="D37" s="10" t="n">
        <v>4</v>
      </c>
      <c r="E37" s="29"/>
      <c r="F37" s="29" t="str">
        <f aca="false">IF(E37="","",IF(UPPER(E37)="N/A","N/A",D37*E37))</f>
        <v/>
      </c>
      <c r="G37" s="30" t="s">
        <v>156</v>
      </c>
      <c r="H37" s="7"/>
    </row>
    <row r="38" customFormat="false" ht="39.75" hidden="false" customHeight="true" outlineLevel="0" collapsed="false">
      <c r="A38" s="28" t="s">
        <v>157</v>
      </c>
      <c r="B38" s="7" t="s">
        <v>158</v>
      </c>
      <c r="C38" s="29" t="s">
        <v>159</v>
      </c>
      <c r="D38" s="10" t="n">
        <v>3</v>
      </c>
      <c r="E38" s="29"/>
      <c r="F38" s="29" t="str">
        <f aca="false">IF(E38="","",IF(UPPER(E38)="N/A","N/A",D38*E38))</f>
        <v/>
      </c>
      <c r="G38" s="30" t="s">
        <v>160</v>
      </c>
      <c r="H38" s="7"/>
    </row>
    <row r="39" customFormat="false" ht="42" hidden="false" customHeight="true" outlineLevel="0" collapsed="false">
      <c r="A39" s="28" t="s">
        <v>161</v>
      </c>
      <c r="B39" s="7" t="s">
        <v>162</v>
      </c>
      <c r="C39" s="29" t="s">
        <v>163</v>
      </c>
      <c r="D39" s="10" t="n">
        <v>2</v>
      </c>
      <c r="E39" s="29"/>
      <c r="F39" s="29" t="str">
        <f aca="false">IF(E39="","",IF(UPPER(E39)="N/A","N/A",D39*E39))</f>
        <v/>
      </c>
      <c r="G39" s="30" t="s">
        <v>164</v>
      </c>
      <c r="H39" s="7"/>
    </row>
    <row r="40" customFormat="false" ht="42" hidden="false" customHeight="true" outlineLevel="0" collapsed="false">
      <c r="A40" s="28" t="s">
        <v>165</v>
      </c>
      <c r="B40" s="7" t="s">
        <v>166</v>
      </c>
      <c r="C40" s="29" t="s">
        <v>167</v>
      </c>
      <c r="D40" s="10" t="n">
        <v>2</v>
      </c>
      <c r="E40" s="29"/>
      <c r="F40" s="29" t="str">
        <f aca="false">IF(E40="","",IF(UPPER(E40)="N/A","N/A",D40*E40))</f>
        <v/>
      </c>
      <c r="G40" s="30" t="s">
        <v>168</v>
      </c>
      <c r="H40" s="7"/>
    </row>
    <row r="41" customFormat="false" ht="42" hidden="false" customHeight="true" outlineLevel="0" collapsed="false">
      <c r="A41" s="28" t="s">
        <v>169</v>
      </c>
      <c r="B41" s="7" t="s">
        <v>170</v>
      </c>
      <c r="C41" s="29" t="s">
        <v>171</v>
      </c>
      <c r="D41" s="10" t="n">
        <v>3</v>
      </c>
      <c r="E41" s="29"/>
      <c r="F41" s="29" t="str">
        <f aca="false">IF(E41="","",IF(UPPER(E41)="N/A","N/A",D41*E41))</f>
        <v/>
      </c>
      <c r="G41" s="30" t="s">
        <v>172</v>
      </c>
      <c r="H41" s="7"/>
    </row>
    <row r="42" customFormat="false" ht="39.75" hidden="false" customHeight="true" outlineLevel="0" collapsed="false">
      <c r="A42" s="28" t="s">
        <v>173</v>
      </c>
      <c r="B42" s="7" t="s">
        <v>174</v>
      </c>
      <c r="C42" s="29" t="s">
        <v>175</v>
      </c>
      <c r="D42" s="10" t="n">
        <v>4</v>
      </c>
      <c r="E42" s="29"/>
      <c r="F42" s="29" t="str">
        <f aca="false">IF(E42="","",IF(UPPER(E42)="N/A","N/A",D42*E42))</f>
        <v/>
      </c>
      <c r="G42" s="30" t="s">
        <v>176</v>
      </c>
      <c r="H42" s="7"/>
    </row>
    <row r="43" customFormat="false" ht="39.75" hidden="false" customHeight="true" outlineLevel="0" collapsed="false">
      <c r="A43" s="28" t="s">
        <v>177</v>
      </c>
      <c r="B43" s="7" t="s">
        <v>178</v>
      </c>
      <c r="C43" s="29" t="s">
        <v>179</v>
      </c>
      <c r="D43" s="10" t="n">
        <v>3</v>
      </c>
      <c r="E43" s="29"/>
      <c r="F43" s="29" t="str">
        <f aca="false">IF(E43="","",IF(UPPER(E43)="N/A","N/A",D43*E43))</f>
        <v/>
      </c>
      <c r="G43" s="30" t="s">
        <v>180</v>
      </c>
      <c r="H43" s="7"/>
    </row>
    <row r="45" customFormat="false" ht="31.5" hidden="false" customHeight="true" outlineLevel="0" collapsed="false">
      <c r="A45" s="23" t="s">
        <v>181</v>
      </c>
      <c r="B45" s="23"/>
      <c r="C45" s="23"/>
      <c r="D45" s="23"/>
      <c r="E45" s="23"/>
      <c r="F45" s="23"/>
      <c r="G45" s="23"/>
      <c r="H45" s="23"/>
    </row>
    <row r="46" customFormat="false" ht="36" hidden="false" customHeight="true" outlineLevel="0" collapsed="false">
      <c r="A46" s="20" t="s">
        <v>182</v>
      </c>
      <c r="B46" s="31" t="n">
        <f aca="false">SUMPRODUCT(IFERROR((F22:F43+0),0))</f>
        <v>0</v>
      </c>
      <c r="C46" s="20" t="s">
        <v>183</v>
      </c>
      <c r="D46" s="31" t="n">
        <f aca="false">SUMPRODUCT((F22:F43&lt;&gt;"N/A")*(F22:F43&lt;&gt;"")*(D22:D43*2))</f>
        <v>0</v>
      </c>
      <c r="E46" s="20" t="s">
        <v>15</v>
      </c>
      <c r="F46" s="32" t="str">
        <f aca="false">IFERROR(B46/D46,"")</f>
        <v/>
      </c>
      <c r="G46" s="20" t="s">
        <v>16</v>
      </c>
      <c r="H46" s="33" t="str">
        <f aca="false">IFERROR(IF(F46="","",IF(F46&gt;=0.95,"Compliant",IF(F46&gt;=0.85,"Substantially compliant",IF(F46&gt;=0.7,"Partially compliant","Non-compliant")))),"")</f>
        <v/>
      </c>
    </row>
    <row r="48" customFormat="false" ht="15" hidden="false" customHeight="false" outlineLevel="0" collapsed="false">
      <c r="A48" s="34" t="s">
        <v>184</v>
      </c>
      <c r="B48" s="34"/>
      <c r="C48" s="34"/>
      <c r="D48" s="34"/>
      <c r="E48" s="34"/>
      <c r="F48" s="34"/>
      <c r="G48" s="34"/>
      <c r="H48" s="34"/>
    </row>
    <row r="50" customFormat="false" ht="31.5" hidden="false" customHeight="true" outlineLevel="0" collapsed="false">
      <c r="A50" s="23" t="s">
        <v>185</v>
      </c>
      <c r="B50" s="23"/>
      <c r="C50" s="23"/>
      <c r="D50" s="23"/>
      <c r="E50" s="23"/>
      <c r="F50" s="23"/>
      <c r="G50" s="23"/>
      <c r="H50" s="23"/>
    </row>
    <row r="51" customFormat="false" ht="25.5" hidden="false" customHeight="true" outlineLevel="0" collapsed="false">
      <c r="A51" s="35" t="s">
        <v>186</v>
      </c>
      <c r="B51" s="35"/>
      <c r="C51" s="35"/>
      <c r="D51" s="35"/>
      <c r="E51" s="35"/>
      <c r="F51" s="35"/>
      <c r="G51" s="35"/>
      <c r="H51" s="35"/>
    </row>
    <row r="52" customFormat="false" ht="25.5" hidden="false" customHeight="true" outlineLevel="0" collapsed="false">
      <c r="A52" s="35"/>
      <c r="B52" s="35"/>
      <c r="C52" s="35"/>
      <c r="D52" s="35"/>
      <c r="E52" s="35"/>
      <c r="F52" s="35"/>
      <c r="G52" s="35"/>
      <c r="H52" s="35"/>
    </row>
    <row r="53" customFormat="false" ht="25.5" hidden="false" customHeight="true" outlineLevel="0" collapsed="false">
      <c r="A53" s="35"/>
      <c r="B53" s="35"/>
      <c r="C53" s="35"/>
      <c r="D53" s="35"/>
      <c r="E53" s="35"/>
      <c r="F53" s="35"/>
      <c r="G53" s="35"/>
      <c r="H53" s="35"/>
    </row>
    <row r="54" customFormat="false" ht="25.5" hidden="false" customHeight="true" outlineLevel="0" collapsed="false">
      <c r="A54" s="35"/>
      <c r="B54" s="35"/>
      <c r="C54" s="35"/>
      <c r="D54" s="35"/>
      <c r="E54" s="35"/>
      <c r="F54" s="35"/>
      <c r="G54" s="35"/>
      <c r="H54" s="35"/>
    </row>
    <row r="56" customFormat="false" ht="31.5" hidden="false" customHeight="true" outlineLevel="0" collapsed="false">
      <c r="A56" s="23" t="s">
        <v>187</v>
      </c>
      <c r="B56" s="23"/>
      <c r="C56" s="23"/>
      <c r="D56" s="23"/>
      <c r="E56" s="23"/>
      <c r="F56" s="23"/>
      <c r="G56" s="23"/>
      <c r="H56" s="23"/>
    </row>
    <row r="57" customFormat="false" ht="25.5" hidden="false" customHeight="true" outlineLevel="0" collapsed="false">
      <c r="A57" s="35" t="s">
        <v>188</v>
      </c>
      <c r="B57" s="35"/>
      <c r="C57" s="35"/>
      <c r="D57" s="35"/>
      <c r="E57" s="35"/>
      <c r="F57" s="35"/>
      <c r="G57" s="35"/>
      <c r="H57" s="35"/>
    </row>
    <row r="58" customFormat="false" ht="25.5" hidden="false" customHeight="true" outlineLevel="0" collapsed="false">
      <c r="A58" s="35"/>
      <c r="B58" s="35"/>
      <c r="C58" s="35"/>
      <c r="D58" s="35"/>
      <c r="E58" s="35"/>
      <c r="F58" s="35"/>
      <c r="G58" s="35"/>
      <c r="H58" s="35"/>
    </row>
    <row r="59" customFormat="false" ht="25.5" hidden="false" customHeight="true" outlineLevel="0" collapsed="false">
      <c r="A59" s="35"/>
      <c r="B59" s="35"/>
      <c r="C59" s="35"/>
      <c r="D59" s="35"/>
      <c r="E59" s="35"/>
      <c r="F59" s="35"/>
      <c r="G59" s="35"/>
      <c r="H59" s="35"/>
    </row>
    <row r="61" customFormat="false" ht="31.5" hidden="false" customHeight="true" outlineLevel="0" collapsed="false">
      <c r="A61" s="23" t="s">
        <v>189</v>
      </c>
      <c r="B61" s="23"/>
      <c r="C61" s="23"/>
      <c r="D61" s="23"/>
      <c r="E61" s="23"/>
      <c r="F61" s="23"/>
      <c r="G61" s="23"/>
      <c r="H61" s="23"/>
    </row>
    <row r="62" customFormat="false" ht="27.75" hidden="false" customHeight="true" outlineLevel="0" collapsed="false">
      <c r="A62" s="27" t="s">
        <v>190</v>
      </c>
      <c r="B62" s="27" t="s">
        <v>191</v>
      </c>
      <c r="C62" s="27" t="s">
        <v>12</v>
      </c>
      <c r="D62" s="27" t="s">
        <v>192</v>
      </c>
      <c r="E62" s="27" t="s">
        <v>193</v>
      </c>
      <c r="F62" s="27" t="s">
        <v>194</v>
      </c>
      <c r="G62" s="27" t="s">
        <v>195</v>
      </c>
      <c r="H62" s="27" t="s">
        <v>196</v>
      </c>
    </row>
    <row r="63" customFormat="false" ht="27.75" hidden="false" customHeight="true" outlineLevel="0" collapsed="false">
      <c r="A63" s="10" t="n">
        <v>1</v>
      </c>
      <c r="B63" s="7"/>
      <c r="C63" s="7"/>
      <c r="D63" s="8"/>
      <c r="E63" s="7"/>
      <c r="F63" s="7"/>
      <c r="G63" s="7"/>
      <c r="H63" s="8"/>
    </row>
    <row r="64" customFormat="false" ht="27.75" hidden="false" customHeight="true" outlineLevel="0" collapsed="false">
      <c r="A64" s="10" t="n">
        <v>2</v>
      </c>
      <c r="B64" s="7"/>
      <c r="C64" s="7"/>
      <c r="D64" s="8"/>
      <c r="E64" s="7"/>
      <c r="F64" s="7"/>
      <c r="G64" s="7"/>
      <c r="H64" s="8"/>
    </row>
    <row r="65" customFormat="false" ht="27.75" hidden="false" customHeight="true" outlineLevel="0" collapsed="false">
      <c r="A65" s="10" t="n">
        <v>3</v>
      </c>
      <c r="B65" s="7"/>
      <c r="C65" s="7"/>
      <c r="D65" s="8"/>
      <c r="E65" s="7"/>
      <c r="F65" s="7"/>
      <c r="G65" s="7"/>
      <c r="H65" s="8"/>
    </row>
    <row r="66" customFormat="false" ht="27.75" hidden="false" customHeight="true" outlineLevel="0" collapsed="false">
      <c r="A66" s="10" t="n">
        <v>4</v>
      </c>
      <c r="B66" s="7"/>
      <c r="C66" s="7"/>
      <c r="D66" s="8"/>
      <c r="E66" s="7"/>
      <c r="F66" s="7"/>
      <c r="G66" s="7"/>
      <c r="H66" s="8"/>
    </row>
    <row r="67" customFormat="false" ht="27.75" hidden="false" customHeight="true" outlineLevel="0" collapsed="false">
      <c r="A67" s="10" t="n">
        <v>5</v>
      </c>
      <c r="B67" s="7"/>
      <c r="C67" s="7"/>
      <c r="D67" s="8"/>
      <c r="E67" s="7"/>
      <c r="F67" s="7"/>
      <c r="G67" s="7"/>
      <c r="H67" s="8"/>
    </row>
    <row r="68" customFormat="false" ht="27.75" hidden="false" customHeight="true" outlineLevel="0" collapsed="false">
      <c r="A68" s="10" t="n">
        <v>6</v>
      </c>
      <c r="B68" s="7"/>
      <c r="C68" s="7"/>
      <c r="D68" s="8"/>
      <c r="E68" s="7"/>
      <c r="F68" s="7"/>
      <c r="G68" s="7"/>
      <c r="H68" s="8"/>
    </row>
    <row r="69" customFormat="false" ht="27.75" hidden="false" customHeight="true" outlineLevel="0" collapsed="false">
      <c r="A69" s="10" t="n">
        <v>7</v>
      </c>
      <c r="B69" s="7"/>
      <c r="C69" s="7"/>
      <c r="D69" s="8"/>
      <c r="E69" s="7"/>
      <c r="F69" s="7"/>
      <c r="G69" s="7"/>
      <c r="H69" s="8"/>
    </row>
    <row r="70" customFormat="false" ht="27.75" hidden="false" customHeight="true" outlineLevel="0" collapsed="false">
      <c r="A70" s="10" t="n">
        <v>8</v>
      </c>
      <c r="B70" s="7"/>
      <c r="C70" s="7"/>
      <c r="D70" s="8"/>
      <c r="E70" s="7"/>
      <c r="F70" s="7"/>
      <c r="G70" s="7"/>
      <c r="H70" s="8"/>
    </row>
    <row r="72" customFormat="false" ht="31.5" hidden="false" customHeight="true" outlineLevel="0" collapsed="false">
      <c r="A72" s="23" t="s">
        <v>197</v>
      </c>
      <c r="B72" s="23"/>
      <c r="C72" s="23"/>
      <c r="D72" s="23"/>
      <c r="E72" s="23"/>
      <c r="F72" s="23"/>
      <c r="G72" s="23"/>
      <c r="H72" s="23"/>
    </row>
    <row r="73" customFormat="false" ht="24" hidden="false" customHeight="true" outlineLevel="0" collapsed="false">
      <c r="A73" s="36" t="s">
        <v>198</v>
      </c>
      <c r="B73" s="36"/>
      <c r="C73" s="36" t="s">
        <v>199</v>
      </c>
      <c r="D73" s="36"/>
      <c r="E73" s="36" t="s">
        <v>200</v>
      </c>
      <c r="F73" s="36"/>
      <c r="G73" s="36" t="s">
        <v>201</v>
      </c>
      <c r="H73" s="36"/>
    </row>
    <row r="74" customFormat="false" ht="30" hidden="false" customHeight="true" outlineLevel="0" collapsed="false">
      <c r="A74" s="37" t="s">
        <v>202</v>
      </c>
      <c r="B74" s="37"/>
      <c r="C74" s="38"/>
      <c r="D74" s="38"/>
      <c r="E74" s="38"/>
      <c r="F74" s="38"/>
      <c r="G74" s="39"/>
      <c r="H74" s="39"/>
    </row>
    <row r="75" customFormat="false" ht="30" hidden="false" customHeight="true" outlineLevel="0" collapsed="false">
      <c r="A75" s="37" t="s">
        <v>203</v>
      </c>
      <c r="B75" s="37"/>
      <c r="C75" s="38"/>
      <c r="D75" s="38"/>
      <c r="E75" s="38"/>
      <c r="F75" s="38"/>
      <c r="G75" s="39"/>
      <c r="H75" s="39"/>
    </row>
    <row r="76" customFormat="false" ht="30" hidden="false" customHeight="true" outlineLevel="0" collapsed="false">
      <c r="A76" s="37" t="s">
        <v>204</v>
      </c>
      <c r="B76" s="37"/>
      <c r="C76" s="38"/>
      <c r="D76" s="38"/>
      <c r="E76" s="38"/>
      <c r="F76" s="38"/>
      <c r="G76" s="39"/>
      <c r="H76" s="39"/>
    </row>
    <row r="77" customFormat="false" ht="30" hidden="false" customHeight="true" outlineLevel="0" collapsed="false">
      <c r="A77" s="37" t="s">
        <v>205</v>
      </c>
      <c r="B77" s="37"/>
      <c r="C77" s="38"/>
      <c r="D77" s="38"/>
      <c r="E77" s="38"/>
      <c r="F77" s="38"/>
      <c r="G77" s="39"/>
      <c r="H77"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5:H45"/>
    <mergeCell ref="A48:H48"/>
    <mergeCell ref="A50:H50"/>
    <mergeCell ref="A51:H54"/>
    <mergeCell ref="A56:H56"/>
    <mergeCell ref="A57:H59"/>
    <mergeCell ref="A61:H61"/>
    <mergeCell ref="A72:H72"/>
    <mergeCell ref="A73:B73"/>
    <mergeCell ref="C73:D73"/>
    <mergeCell ref="E73:F73"/>
    <mergeCell ref="G73:H73"/>
    <mergeCell ref="A74:B74"/>
    <mergeCell ref="A75:B75"/>
    <mergeCell ref="A76:B76"/>
    <mergeCell ref="A77:B77"/>
  </mergeCells>
  <conditionalFormatting sqref="E22:E43">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6">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3" type="list">
      <formula1>"0,1,2,N/A"</formula1>
      <formula2>0</formula2>
    </dataValidation>
    <dataValidation allowBlank="true" errorStyle="stop" operator="between" showDropDown="false" showErrorMessage="false" showInputMessage="false" sqref="E63:E70"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40" t="s">
        <v>206</v>
      </c>
      <c r="B1" s="40"/>
      <c r="C1" s="40"/>
      <c r="D1" s="40"/>
      <c r="E1" s="40"/>
      <c r="F1" s="40"/>
      <c r="G1" s="40"/>
      <c r="H1" s="40"/>
    </row>
    <row r="3" customFormat="false" ht="21.75" hidden="false" customHeight="true" outlineLevel="0" collapsed="false">
      <c r="A3" s="20" t="s">
        <v>68</v>
      </c>
      <c r="B3" s="21" t="s">
        <v>22</v>
      </c>
      <c r="C3" s="21"/>
      <c r="D3" s="21"/>
      <c r="E3" s="21"/>
      <c r="F3" s="21"/>
      <c r="G3" s="21"/>
      <c r="H3" s="21"/>
    </row>
    <row r="4" customFormat="false" ht="21.75" hidden="false" customHeight="true" outlineLevel="0" collapsed="false">
      <c r="A4" s="20" t="s">
        <v>69</v>
      </c>
      <c r="B4" s="21" t="s">
        <v>23</v>
      </c>
      <c r="C4" s="21"/>
      <c r="D4" s="21"/>
      <c r="E4" s="21"/>
      <c r="F4" s="21"/>
      <c r="G4" s="21"/>
      <c r="H4" s="21"/>
    </row>
    <row r="5" customFormat="false" ht="21.75" hidden="false" customHeight="true" outlineLevel="0" collapsed="false">
      <c r="A5" s="20" t="s">
        <v>11</v>
      </c>
      <c r="B5" s="21" t="s">
        <v>24</v>
      </c>
      <c r="C5" s="21"/>
      <c r="D5" s="21"/>
      <c r="E5" s="21"/>
      <c r="F5" s="21"/>
      <c r="G5" s="21"/>
      <c r="H5" s="21"/>
    </row>
    <row r="6" customFormat="false" ht="21.75" hidden="false" customHeight="true" outlineLevel="0" collapsed="false">
      <c r="A6" s="20" t="s">
        <v>12</v>
      </c>
      <c r="B6" s="21" t="s">
        <v>25</v>
      </c>
      <c r="C6" s="21"/>
      <c r="D6" s="21"/>
      <c r="E6" s="21"/>
      <c r="F6" s="21"/>
      <c r="G6" s="21"/>
      <c r="H6" s="21"/>
    </row>
    <row r="7" customFormat="false" ht="21.75" hidden="false" customHeight="true" outlineLevel="0" collapsed="false">
      <c r="A7" s="20" t="s">
        <v>13</v>
      </c>
      <c r="B7" s="21" t="s">
        <v>26</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41" t="s">
        <v>76</v>
      </c>
      <c r="B12" s="41"/>
      <c r="C12" s="41"/>
      <c r="D12" s="41"/>
      <c r="E12" s="41"/>
      <c r="F12" s="41"/>
      <c r="G12" s="41"/>
      <c r="H12" s="41"/>
    </row>
    <row r="13" customFormat="false" ht="39.75" hidden="false" customHeight="true" outlineLevel="0" collapsed="false">
      <c r="A13" s="24" t="s">
        <v>77</v>
      </c>
      <c r="B13" s="25" t="s">
        <v>207</v>
      </c>
      <c r="C13" s="25"/>
      <c r="D13" s="25"/>
      <c r="E13" s="25"/>
      <c r="F13" s="25"/>
      <c r="G13" s="25"/>
      <c r="H13" s="25"/>
    </row>
    <row r="14" customFormat="false" ht="97.5" hidden="false" customHeight="true" outlineLevel="0" collapsed="false">
      <c r="A14" s="24" t="s">
        <v>79</v>
      </c>
      <c r="B14" s="25" t="s">
        <v>208</v>
      </c>
      <c r="C14" s="25"/>
      <c r="D14" s="25"/>
      <c r="E14" s="25"/>
      <c r="F14" s="25"/>
      <c r="G14" s="25"/>
      <c r="H14" s="25"/>
    </row>
    <row r="15" customFormat="false" ht="145.5" hidden="false" customHeight="true" outlineLevel="0" collapsed="false">
      <c r="A15" s="24" t="s">
        <v>81</v>
      </c>
      <c r="B15" s="25" t="s">
        <v>209</v>
      </c>
      <c r="C15" s="25"/>
      <c r="D15" s="25"/>
      <c r="E15" s="25"/>
      <c r="F15" s="25"/>
      <c r="G15" s="25"/>
      <c r="H15" s="25"/>
    </row>
    <row r="17" customFormat="false" ht="31.5" hidden="false" customHeight="true" outlineLevel="0" collapsed="false">
      <c r="A17" s="41" t="s">
        <v>83</v>
      </c>
      <c r="B17" s="41"/>
      <c r="C17" s="41"/>
      <c r="D17" s="41"/>
      <c r="E17" s="41"/>
      <c r="F17" s="41"/>
      <c r="G17" s="41"/>
      <c r="H17" s="41"/>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41" t="s">
        <v>85</v>
      </c>
      <c r="B20" s="41"/>
      <c r="C20" s="41"/>
      <c r="D20" s="41"/>
      <c r="E20" s="41"/>
      <c r="F20" s="41"/>
      <c r="G20" s="41"/>
      <c r="H20" s="41"/>
    </row>
    <row r="21" customFormat="false" ht="36" hidden="false" customHeight="true" outlineLevel="0" collapsed="false">
      <c r="A21" s="42" t="s">
        <v>86</v>
      </c>
      <c r="B21" s="42" t="s">
        <v>87</v>
      </c>
      <c r="C21" s="42" t="s">
        <v>88</v>
      </c>
      <c r="D21" s="42" t="s">
        <v>89</v>
      </c>
      <c r="E21" s="42" t="s">
        <v>90</v>
      </c>
      <c r="F21" s="42" t="s">
        <v>91</v>
      </c>
      <c r="G21" s="42" t="s">
        <v>92</v>
      </c>
      <c r="H21" s="42" t="s">
        <v>93</v>
      </c>
    </row>
    <row r="22" customFormat="false" ht="39.75" hidden="false" customHeight="true" outlineLevel="0" collapsed="false">
      <c r="A22" s="43" t="s">
        <v>210</v>
      </c>
      <c r="B22" s="7" t="s">
        <v>211</v>
      </c>
      <c r="C22" s="29" t="s">
        <v>212</v>
      </c>
      <c r="D22" s="10" t="n">
        <v>5</v>
      </c>
      <c r="E22" s="29"/>
      <c r="F22" s="29" t="str">
        <f aca="false">IF(E22="","",IF(UPPER(E22)="N/A","N/A",D22*E22))</f>
        <v/>
      </c>
      <c r="G22" s="30" t="s">
        <v>213</v>
      </c>
      <c r="H22" s="7"/>
    </row>
    <row r="23" customFormat="false" ht="42" hidden="false" customHeight="true" outlineLevel="0" collapsed="false">
      <c r="A23" s="43" t="s">
        <v>214</v>
      </c>
      <c r="B23" s="7" t="s">
        <v>215</v>
      </c>
      <c r="C23" s="29" t="s">
        <v>216</v>
      </c>
      <c r="D23" s="10" t="n">
        <v>4</v>
      </c>
      <c r="E23" s="29"/>
      <c r="F23" s="29" t="str">
        <f aca="false">IF(E23="","",IF(UPPER(E23)="N/A","N/A",D23*E23))</f>
        <v/>
      </c>
      <c r="G23" s="30" t="s">
        <v>217</v>
      </c>
      <c r="H23" s="7"/>
    </row>
    <row r="24" customFormat="false" ht="42" hidden="false" customHeight="true" outlineLevel="0" collapsed="false">
      <c r="A24" s="43" t="s">
        <v>218</v>
      </c>
      <c r="B24" s="7" t="s">
        <v>219</v>
      </c>
      <c r="C24" s="29" t="s">
        <v>220</v>
      </c>
      <c r="D24" s="10" t="n">
        <v>5</v>
      </c>
      <c r="E24" s="29"/>
      <c r="F24" s="29" t="str">
        <f aca="false">IF(E24="","",IF(UPPER(E24)="N/A","N/A",D24*E24))</f>
        <v/>
      </c>
      <c r="G24" s="30" t="s">
        <v>221</v>
      </c>
      <c r="H24" s="7"/>
    </row>
    <row r="25" customFormat="false" ht="39.75" hidden="false" customHeight="true" outlineLevel="0" collapsed="false">
      <c r="A25" s="43" t="s">
        <v>222</v>
      </c>
      <c r="B25" s="7" t="s">
        <v>223</v>
      </c>
      <c r="C25" s="29" t="s">
        <v>224</v>
      </c>
      <c r="D25" s="10" t="n">
        <v>4</v>
      </c>
      <c r="E25" s="29"/>
      <c r="F25" s="29" t="str">
        <f aca="false">IF(E25="","",IF(UPPER(E25)="N/A","N/A",D25*E25))</f>
        <v/>
      </c>
      <c r="G25" s="30" t="s">
        <v>225</v>
      </c>
      <c r="H25" s="7"/>
    </row>
    <row r="26" customFormat="false" ht="39.75" hidden="false" customHeight="true" outlineLevel="0" collapsed="false">
      <c r="A26" s="43" t="s">
        <v>226</v>
      </c>
      <c r="B26" s="7" t="s">
        <v>227</v>
      </c>
      <c r="C26" s="29" t="s">
        <v>228</v>
      </c>
      <c r="D26" s="10" t="n">
        <v>5</v>
      </c>
      <c r="E26" s="29"/>
      <c r="F26" s="29" t="str">
        <f aca="false">IF(E26="","",IF(UPPER(E26)="N/A","N/A",D26*E26))</f>
        <v/>
      </c>
      <c r="G26" s="30" t="s">
        <v>229</v>
      </c>
      <c r="H26" s="7"/>
    </row>
    <row r="27" customFormat="false" ht="39.75" hidden="false" customHeight="true" outlineLevel="0" collapsed="false">
      <c r="A27" s="43" t="s">
        <v>230</v>
      </c>
      <c r="B27" s="7" t="s">
        <v>231</v>
      </c>
      <c r="C27" s="29" t="s">
        <v>232</v>
      </c>
      <c r="D27" s="10" t="n">
        <v>5</v>
      </c>
      <c r="E27" s="29"/>
      <c r="F27" s="29" t="str">
        <f aca="false">IF(E27="","",IF(UPPER(E27)="N/A","N/A",D27*E27))</f>
        <v/>
      </c>
      <c r="G27" s="30" t="s">
        <v>233</v>
      </c>
      <c r="H27" s="7"/>
    </row>
    <row r="28" customFormat="false" ht="39.75" hidden="false" customHeight="true" outlineLevel="0" collapsed="false">
      <c r="A28" s="43" t="s">
        <v>234</v>
      </c>
      <c r="B28" s="7" t="s">
        <v>235</v>
      </c>
      <c r="C28" s="29" t="s">
        <v>236</v>
      </c>
      <c r="D28" s="10" t="n">
        <v>4</v>
      </c>
      <c r="E28" s="29"/>
      <c r="F28" s="29" t="str">
        <f aca="false">IF(E28="","",IF(UPPER(E28)="N/A","N/A",D28*E28))</f>
        <v/>
      </c>
      <c r="G28" s="30" t="s">
        <v>237</v>
      </c>
      <c r="H28" s="7"/>
    </row>
    <row r="29" customFormat="false" ht="39.75" hidden="false" customHeight="true" outlineLevel="0" collapsed="false">
      <c r="A29" s="43" t="s">
        <v>238</v>
      </c>
      <c r="B29" s="7" t="s">
        <v>239</v>
      </c>
      <c r="C29" s="29" t="s">
        <v>240</v>
      </c>
      <c r="D29" s="10" t="n">
        <v>5</v>
      </c>
      <c r="E29" s="29"/>
      <c r="F29" s="29" t="str">
        <f aca="false">IF(E29="","",IF(UPPER(E29)="N/A","N/A",D29*E29))</f>
        <v/>
      </c>
      <c r="G29" s="30" t="s">
        <v>241</v>
      </c>
      <c r="H29" s="7"/>
    </row>
    <row r="30" customFormat="false" ht="39.75" hidden="false" customHeight="true" outlineLevel="0" collapsed="false">
      <c r="A30" s="43" t="s">
        <v>242</v>
      </c>
      <c r="B30" s="7" t="s">
        <v>243</v>
      </c>
      <c r="C30" s="29" t="s">
        <v>244</v>
      </c>
      <c r="D30" s="10" t="n">
        <v>5</v>
      </c>
      <c r="E30" s="29"/>
      <c r="F30" s="29" t="str">
        <f aca="false">IF(E30="","",IF(UPPER(E30)="N/A","N/A",D30*E30))</f>
        <v/>
      </c>
      <c r="G30" s="30" t="s">
        <v>245</v>
      </c>
      <c r="H30" s="7"/>
    </row>
    <row r="31" customFormat="false" ht="39.75" hidden="false" customHeight="true" outlineLevel="0" collapsed="false">
      <c r="A31" s="43" t="s">
        <v>246</v>
      </c>
      <c r="B31" s="7" t="s">
        <v>247</v>
      </c>
      <c r="C31" s="29" t="s">
        <v>248</v>
      </c>
      <c r="D31" s="10" t="n">
        <v>4</v>
      </c>
      <c r="E31" s="29"/>
      <c r="F31" s="29" t="str">
        <f aca="false">IF(E31="","",IF(UPPER(E31)="N/A","N/A",D31*E31))</f>
        <v/>
      </c>
      <c r="G31" s="30" t="s">
        <v>249</v>
      </c>
      <c r="H31" s="7"/>
    </row>
    <row r="32" customFormat="false" ht="42" hidden="false" customHeight="true" outlineLevel="0" collapsed="false">
      <c r="A32" s="43" t="s">
        <v>250</v>
      </c>
      <c r="B32" s="7" t="s">
        <v>251</v>
      </c>
      <c r="C32" s="29" t="s">
        <v>252</v>
      </c>
      <c r="D32" s="10" t="n">
        <v>3</v>
      </c>
      <c r="E32" s="29"/>
      <c r="F32" s="29" t="str">
        <f aca="false">IF(E32="","",IF(UPPER(E32)="N/A","N/A",D32*E32))</f>
        <v/>
      </c>
      <c r="G32" s="30" t="s">
        <v>253</v>
      </c>
      <c r="H32" s="7"/>
    </row>
    <row r="33" customFormat="false" ht="42" hidden="false" customHeight="true" outlineLevel="0" collapsed="false">
      <c r="A33" s="43" t="s">
        <v>254</v>
      </c>
      <c r="B33" s="7" t="s">
        <v>255</v>
      </c>
      <c r="C33" s="29" t="s">
        <v>256</v>
      </c>
      <c r="D33" s="10" t="n">
        <v>2</v>
      </c>
      <c r="E33" s="29"/>
      <c r="F33" s="29" t="str">
        <f aca="false">IF(E33="","",IF(UPPER(E33)="N/A","N/A",D33*E33))</f>
        <v/>
      </c>
      <c r="G33" s="30" t="s">
        <v>257</v>
      </c>
      <c r="H33" s="7"/>
    </row>
    <row r="34" customFormat="false" ht="39.75" hidden="false" customHeight="true" outlineLevel="0" collapsed="false">
      <c r="A34" s="43" t="s">
        <v>258</v>
      </c>
      <c r="B34" s="7" t="s">
        <v>259</v>
      </c>
      <c r="C34" s="29" t="s">
        <v>260</v>
      </c>
      <c r="D34" s="10" t="n">
        <v>3</v>
      </c>
      <c r="E34" s="29"/>
      <c r="F34" s="29" t="str">
        <f aca="false">IF(E34="","",IF(UPPER(E34)="N/A","N/A",D34*E34))</f>
        <v/>
      </c>
      <c r="G34" s="30" t="s">
        <v>261</v>
      </c>
      <c r="H34" s="7"/>
    </row>
    <row r="35" customFormat="false" ht="42" hidden="false" customHeight="true" outlineLevel="0" collapsed="false">
      <c r="A35" s="43" t="s">
        <v>262</v>
      </c>
      <c r="B35" s="7" t="s">
        <v>263</v>
      </c>
      <c r="C35" s="29" t="s">
        <v>264</v>
      </c>
      <c r="D35" s="10" t="n">
        <v>3</v>
      </c>
      <c r="E35" s="29"/>
      <c r="F35" s="29" t="str">
        <f aca="false">IF(E35="","",IF(UPPER(E35)="N/A","N/A",D35*E35))</f>
        <v/>
      </c>
      <c r="G35" s="30" t="s">
        <v>265</v>
      </c>
      <c r="H35" s="7"/>
    </row>
    <row r="36" customFormat="false" ht="42" hidden="false" customHeight="true" outlineLevel="0" collapsed="false">
      <c r="A36" s="43" t="s">
        <v>266</v>
      </c>
      <c r="B36" s="7" t="s">
        <v>267</v>
      </c>
      <c r="C36" s="29" t="s">
        <v>268</v>
      </c>
      <c r="D36" s="10" t="n">
        <v>4</v>
      </c>
      <c r="E36" s="29"/>
      <c r="F36" s="29" t="str">
        <f aca="false">IF(E36="","",IF(UPPER(E36)="N/A","N/A",D36*E36))</f>
        <v/>
      </c>
      <c r="G36" s="30" t="s">
        <v>269</v>
      </c>
      <c r="H36" s="7"/>
    </row>
    <row r="37" customFormat="false" ht="42" hidden="false" customHeight="true" outlineLevel="0" collapsed="false">
      <c r="A37" s="43" t="s">
        <v>270</v>
      </c>
      <c r="B37" s="7" t="s">
        <v>271</v>
      </c>
      <c r="C37" s="29" t="s">
        <v>272</v>
      </c>
      <c r="D37" s="10" t="n">
        <v>5</v>
      </c>
      <c r="E37" s="29"/>
      <c r="F37" s="29" t="str">
        <f aca="false">IF(E37="","",IF(UPPER(E37)="N/A","N/A",D37*E37))</f>
        <v/>
      </c>
      <c r="G37" s="30" t="s">
        <v>273</v>
      </c>
      <c r="H37" s="7"/>
    </row>
    <row r="38" customFormat="false" ht="39.75" hidden="false" customHeight="true" outlineLevel="0" collapsed="false">
      <c r="A38" s="43" t="s">
        <v>274</v>
      </c>
      <c r="B38" s="7" t="s">
        <v>275</v>
      </c>
      <c r="C38" s="29" t="s">
        <v>276</v>
      </c>
      <c r="D38" s="10" t="n">
        <v>3</v>
      </c>
      <c r="E38" s="29"/>
      <c r="F38" s="29" t="str">
        <f aca="false">IF(E38="","",IF(UPPER(E38)="N/A","N/A",D38*E38))</f>
        <v/>
      </c>
      <c r="G38" s="30" t="s">
        <v>277</v>
      </c>
      <c r="H38" s="7"/>
    </row>
    <row r="39" customFormat="false" ht="42" hidden="false" customHeight="true" outlineLevel="0" collapsed="false">
      <c r="A39" s="43" t="s">
        <v>278</v>
      </c>
      <c r="B39" s="7" t="s">
        <v>279</v>
      </c>
      <c r="C39" s="29" t="s">
        <v>280</v>
      </c>
      <c r="D39" s="10" t="n">
        <v>2</v>
      </c>
      <c r="E39" s="29"/>
      <c r="F39" s="29" t="str">
        <f aca="false">IF(E39="","",IF(UPPER(E39)="N/A","N/A",D39*E39))</f>
        <v/>
      </c>
      <c r="G39" s="30" t="s">
        <v>281</v>
      </c>
      <c r="H39" s="7"/>
    </row>
    <row r="40" customFormat="false" ht="39.75" hidden="false" customHeight="true" outlineLevel="0" collapsed="false">
      <c r="A40" s="43" t="s">
        <v>282</v>
      </c>
      <c r="B40" s="7" t="s">
        <v>283</v>
      </c>
      <c r="C40" s="29" t="s">
        <v>224</v>
      </c>
      <c r="D40" s="10" t="n">
        <v>2</v>
      </c>
      <c r="E40" s="29"/>
      <c r="F40" s="29" t="str">
        <f aca="false">IF(E40="","",IF(UPPER(E40)="N/A","N/A",D40*E40))</f>
        <v/>
      </c>
      <c r="G40" s="30" t="s">
        <v>284</v>
      </c>
      <c r="H40" s="7"/>
    </row>
    <row r="41" customFormat="false" ht="42" hidden="false" customHeight="true" outlineLevel="0" collapsed="false">
      <c r="A41" s="43" t="s">
        <v>285</v>
      </c>
      <c r="B41" s="7" t="s">
        <v>286</v>
      </c>
      <c r="C41" s="29" t="s">
        <v>287</v>
      </c>
      <c r="D41" s="10" t="n">
        <v>4</v>
      </c>
      <c r="E41" s="29"/>
      <c r="F41" s="29" t="str">
        <f aca="false">IF(E41="","",IF(UPPER(E41)="N/A","N/A",D41*E41))</f>
        <v/>
      </c>
      <c r="G41" s="30" t="s">
        <v>288</v>
      </c>
      <c r="H41" s="7"/>
    </row>
    <row r="43" customFormat="false" ht="31.5" hidden="false" customHeight="true" outlineLevel="0" collapsed="false">
      <c r="A43" s="41" t="s">
        <v>181</v>
      </c>
      <c r="B43" s="41"/>
      <c r="C43" s="41"/>
      <c r="D43" s="41"/>
      <c r="E43" s="41"/>
      <c r="F43" s="41"/>
      <c r="G43" s="41"/>
      <c r="H43" s="41"/>
    </row>
    <row r="44" customFormat="false" ht="36" hidden="false" customHeight="true" outlineLevel="0" collapsed="false">
      <c r="A44" s="20" t="s">
        <v>182</v>
      </c>
      <c r="B44" s="31" t="n">
        <f aca="false">SUMPRODUCT(IFERROR((F22:F41+0),0))</f>
        <v>0</v>
      </c>
      <c r="C44" s="20" t="s">
        <v>183</v>
      </c>
      <c r="D44" s="31" t="n">
        <f aca="false">SUMPRODUCT((F22:F41&lt;&gt;"N/A")*(F22:F41&lt;&gt;"")*(D22:D41*2))</f>
        <v>0</v>
      </c>
      <c r="E44" s="20" t="s">
        <v>15</v>
      </c>
      <c r="F44" s="44" t="str">
        <f aca="false">IFERROR(B44/D44,"")</f>
        <v/>
      </c>
      <c r="G44" s="20" t="s">
        <v>16</v>
      </c>
      <c r="H44" s="33" t="str">
        <f aca="false">IFERROR(IF(F44="","",IF(F44&gt;=0.95,"Compliant",IF(F44&gt;=0.85,"Substantially compliant",IF(F44&gt;=0.7,"Partially compliant","Non-compliant")))),"")</f>
        <v/>
      </c>
    </row>
    <row r="46" customFormat="false" ht="15" hidden="false" customHeight="false" outlineLevel="0" collapsed="false">
      <c r="A46" s="34" t="s">
        <v>184</v>
      </c>
      <c r="B46" s="34"/>
      <c r="C46" s="34"/>
      <c r="D46" s="34"/>
      <c r="E46" s="34"/>
      <c r="F46" s="34"/>
      <c r="G46" s="34"/>
      <c r="H46" s="34"/>
    </row>
    <row r="48" customFormat="false" ht="31.5" hidden="false" customHeight="true" outlineLevel="0" collapsed="false">
      <c r="A48" s="41" t="s">
        <v>185</v>
      </c>
      <c r="B48" s="41"/>
      <c r="C48" s="41"/>
      <c r="D48" s="41"/>
      <c r="E48" s="41"/>
      <c r="F48" s="41"/>
      <c r="G48" s="41"/>
      <c r="H48" s="41"/>
    </row>
    <row r="49" customFormat="false" ht="25.5" hidden="false" customHeight="true" outlineLevel="0" collapsed="false">
      <c r="A49" s="35" t="s">
        <v>186</v>
      </c>
      <c r="B49" s="35"/>
      <c r="C49" s="35"/>
      <c r="D49" s="35"/>
      <c r="E49" s="35"/>
      <c r="F49" s="35"/>
      <c r="G49" s="35"/>
      <c r="H49" s="35"/>
    </row>
    <row r="50" customFormat="false" ht="25.5" hidden="false" customHeight="true" outlineLevel="0" collapsed="false">
      <c r="A50" s="35"/>
      <c r="B50" s="35"/>
      <c r="C50" s="35"/>
      <c r="D50" s="35"/>
      <c r="E50" s="35"/>
      <c r="F50" s="35"/>
      <c r="G50" s="35"/>
      <c r="H50" s="35"/>
    </row>
    <row r="51" customFormat="false" ht="25.5" hidden="false" customHeight="true" outlineLevel="0" collapsed="false">
      <c r="A51" s="35"/>
      <c r="B51" s="35"/>
      <c r="C51" s="35"/>
      <c r="D51" s="35"/>
      <c r="E51" s="35"/>
      <c r="F51" s="35"/>
      <c r="G51" s="35"/>
      <c r="H51" s="35"/>
    </row>
    <row r="52" customFormat="false" ht="25.5" hidden="false" customHeight="true" outlineLevel="0" collapsed="false">
      <c r="A52" s="35"/>
      <c r="B52" s="35"/>
      <c r="C52" s="35"/>
      <c r="D52" s="35"/>
      <c r="E52" s="35"/>
      <c r="F52" s="35"/>
      <c r="G52" s="35"/>
      <c r="H52" s="35"/>
    </row>
    <row r="54" customFormat="false" ht="31.5" hidden="false" customHeight="true" outlineLevel="0" collapsed="false">
      <c r="A54" s="41" t="s">
        <v>187</v>
      </c>
      <c r="B54" s="41"/>
      <c r="C54" s="41"/>
      <c r="D54" s="41"/>
      <c r="E54" s="41"/>
      <c r="F54" s="41"/>
      <c r="G54" s="41"/>
      <c r="H54" s="41"/>
    </row>
    <row r="55" customFormat="false" ht="25.5" hidden="false" customHeight="true" outlineLevel="0" collapsed="false">
      <c r="A55" s="35" t="s">
        <v>188</v>
      </c>
      <c r="B55" s="35"/>
      <c r="C55" s="35"/>
      <c r="D55" s="35"/>
      <c r="E55" s="35"/>
      <c r="F55" s="35"/>
      <c r="G55" s="35"/>
      <c r="H55" s="35"/>
    </row>
    <row r="56" customFormat="false" ht="25.5" hidden="false" customHeight="true" outlineLevel="0" collapsed="false">
      <c r="A56" s="35"/>
      <c r="B56" s="35"/>
      <c r="C56" s="35"/>
      <c r="D56" s="35"/>
      <c r="E56" s="35"/>
      <c r="F56" s="35"/>
      <c r="G56" s="35"/>
      <c r="H56" s="35"/>
    </row>
    <row r="57" customFormat="false" ht="25.5" hidden="false" customHeight="true" outlineLevel="0" collapsed="false">
      <c r="A57" s="35"/>
      <c r="B57" s="35"/>
      <c r="C57" s="35"/>
      <c r="D57" s="35"/>
      <c r="E57" s="35"/>
      <c r="F57" s="35"/>
      <c r="G57" s="35"/>
      <c r="H57" s="35"/>
    </row>
    <row r="59" customFormat="false" ht="31.5" hidden="false" customHeight="true" outlineLevel="0" collapsed="false">
      <c r="A59" s="41" t="s">
        <v>189</v>
      </c>
      <c r="B59" s="41"/>
      <c r="C59" s="41"/>
      <c r="D59" s="41"/>
      <c r="E59" s="41"/>
      <c r="F59" s="41"/>
      <c r="G59" s="41"/>
      <c r="H59" s="41"/>
    </row>
    <row r="60" customFormat="false" ht="27.75" hidden="false" customHeight="true" outlineLevel="0" collapsed="false">
      <c r="A60" s="42" t="s">
        <v>190</v>
      </c>
      <c r="B60" s="42" t="s">
        <v>191</v>
      </c>
      <c r="C60" s="42" t="s">
        <v>12</v>
      </c>
      <c r="D60" s="42" t="s">
        <v>192</v>
      </c>
      <c r="E60" s="42" t="s">
        <v>193</v>
      </c>
      <c r="F60" s="42" t="s">
        <v>194</v>
      </c>
      <c r="G60" s="42" t="s">
        <v>195</v>
      </c>
      <c r="H60" s="42" t="s">
        <v>196</v>
      </c>
    </row>
    <row r="61" customFormat="false" ht="27.75" hidden="false" customHeight="true" outlineLevel="0" collapsed="false">
      <c r="A61" s="10" t="n">
        <v>1</v>
      </c>
      <c r="B61" s="7"/>
      <c r="C61" s="7"/>
      <c r="D61" s="8"/>
      <c r="E61" s="7"/>
      <c r="F61" s="7"/>
      <c r="G61" s="7"/>
      <c r="H61" s="8"/>
    </row>
    <row r="62" customFormat="false" ht="27.75" hidden="false" customHeight="true" outlineLevel="0" collapsed="false">
      <c r="A62" s="10" t="n">
        <v>2</v>
      </c>
      <c r="B62" s="7"/>
      <c r="C62" s="7"/>
      <c r="D62" s="8"/>
      <c r="E62" s="7"/>
      <c r="F62" s="7"/>
      <c r="G62" s="7"/>
      <c r="H62" s="8"/>
    </row>
    <row r="63" customFormat="false" ht="27.75" hidden="false" customHeight="true" outlineLevel="0" collapsed="false">
      <c r="A63" s="10" t="n">
        <v>3</v>
      </c>
      <c r="B63" s="7"/>
      <c r="C63" s="7"/>
      <c r="D63" s="8"/>
      <c r="E63" s="7"/>
      <c r="F63" s="7"/>
      <c r="G63" s="7"/>
      <c r="H63" s="8"/>
    </row>
    <row r="64" customFormat="false" ht="27.75" hidden="false" customHeight="true" outlineLevel="0" collapsed="false">
      <c r="A64" s="10" t="n">
        <v>4</v>
      </c>
      <c r="B64" s="7"/>
      <c r="C64" s="7"/>
      <c r="D64" s="8"/>
      <c r="E64" s="7"/>
      <c r="F64" s="7"/>
      <c r="G64" s="7"/>
      <c r="H64" s="8"/>
    </row>
    <row r="65" customFormat="false" ht="27.75" hidden="false" customHeight="true" outlineLevel="0" collapsed="false">
      <c r="A65" s="10" t="n">
        <v>5</v>
      </c>
      <c r="B65" s="7"/>
      <c r="C65" s="7"/>
      <c r="D65" s="8"/>
      <c r="E65" s="7"/>
      <c r="F65" s="7"/>
      <c r="G65" s="7"/>
      <c r="H65" s="8"/>
    </row>
    <row r="66" customFormat="false" ht="27.75" hidden="false" customHeight="true" outlineLevel="0" collapsed="false">
      <c r="A66" s="10" t="n">
        <v>6</v>
      </c>
      <c r="B66" s="7"/>
      <c r="C66" s="7"/>
      <c r="D66" s="8"/>
      <c r="E66" s="7"/>
      <c r="F66" s="7"/>
      <c r="G66" s="7"/>
      <c r="H66" s="8"/>
    </row>
    <row r="67" customFormat="false" ht="27.75" hidden="false" customHeight="true" outlineLevel="0" collapsed="false">
      <c r="A67" s="10" t="n">
        <v>7</v>
      </c>
      <c r="B67" s="7"/>
      <c r="C67" s="7"/>
      <c r="D67" s="8"/>
      <c r="E67" s="7"/>
      <c r="F67" s="7"/>
      <c r="G67" s="7"/>
      <c r="H67" s="8"/>
    </row>
    <row r="68" customFormat="false" ht="27.75" hidden="false" customHeight="true" outlineLevel="0" collapsed="false">
      <c r="A68" s="10" t="n">
        <v>8</v>
      </c>
      <c r="B68" s="7"/>
      <c r="C68" s="7"/>
      <c r="D68" s="8"/>
      <c r="E68" s="7"/>
      <c r="F68" s="7"/>
      <c r="G68" s="7"/>
      <c r="H68" s="8"/>
    </row>
    <row r="70" customFormat="false" ht="31.5" hidden="false" customHeight="true" outlineLevel="0" collapsed="false">
      <c r="A70" s="41" t="s">
        <v>197</v>
      </c>
      <c r="B70" s="41"/>
      <c r="C70" s="41"/>
      <c r="D70" s="41"/>
      <c r="E70" s="41"/>
      <c r="F70" s="41"/>
      <c r="G70" s="41"/>
      <c r="H70" s="41"/>
    </row>
    <row r="71" customFormat="false" ht="24" hidden="false" customHeight="true" outlineLevel="0" collapsed="false">
      <c r="A71" s="36" t="s">
        <v>198</v>
      </c>
      <c r="B71" s="36"/>
      <c r="C71" s="36" t="s">
        <v>199</v>
      </c>
      <c r="D71" s="36"/>
      <c r="E71" s="36" t="s">
        <v>200</v>
      </c>
      <c r="F71" s="36"/>
      <c r="G71" s="36" t="s">
        <v>201</v>
      </c>
      <c r="H71" s="36"/>
    </row>
    <row r="72" customFormat="false" ht="30" hidden="false" customHeight="true" outlineLevel="0" collapsed="false">
      <c r="A72" s="37" t="s">
        <v>202</v>
      </c>
      <c r="B72" s="37"/>
      <c r="C72" s="38"/>
      <c r="D72" s="38"/>
      <c r="E72" s="38"/>
      <c r="F72" s="38"/>
      <c r="G72" s="39"/>
      <c r="H72" s="39"/>
    </row>
    <row r="73" customFormat="false" ht="30" hidden="false" customHeight="true" outlineLevel="0" collapsed="false">
      <c r="A73" s="37" t="s">
        <v>203</v>
      </c>
      <c r="B73" s="37"/>
      <c r="C73" s="38"/>
      <c r="D73" s="38"/>
      <c r="E73" s="38"/>
      <c r="F73" s="38"/>
      <c r="G73" s="39"/>
      <c r="H73" s="39"/>
    </row>
    <row r="74" customFormat="false" ht="30" hidden="false" customHeight="true" outlineLevel="0" collapsed="false">
      <c r="A74" s="37" t="s">
        <v>204</v>
      </c>
      <c r="B74" s="37"/>
      <c r="C74" s="38"/>
      <c r="D74" s="38"/>
      <c r="E74" s="38"/>
      <c r="F74" s="38"/>
      <c r="G74" s="39"/>
      <c r="H74" s="39"/>
    </row>
    <row r="75" customFormat="false" ht="30" hidden="false" customHeight="true" outlineLevel="0" collapsed="false">
      <c r="A75" s="37" t="s">
        <v>205</v>
      </c>
      <c r="B75" s="37"/>
      <c r="C75" s="38"/>
      <c r="D75" s="38"/>
      <c r="E75" s="38"/>
      <c r="F75" s="38"/>
      <c r="G75" s="39"/>
      <c r="H75"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3:H43"/>
    <mergeCell ref="A46:H46"/>
    <mergeCell ref="A48:H48"/>
    <mergeCell ref="A49:H52"/>
    <mergeCell ref="A54:H54"/>
    <mergeCell ref="A55:H57"/>
    <mergeCell ref="A59:H59"/>
    <mergeCell ref="A70:H70"/>
    <mergeCell ref="A71:B71"/>
    <mergeCell ref="C71:D71"/>
    <mergeCell ref="E71:F71"/>
    <mergeCell ref="G71:H71"/>
    <mergeCell ref="A72:B72"/>
    <mergeCell ref="A73:B73"/>
    <mergeCell ref="A74:B74"/>
    <mergeCell ref="A75:B75"/>
  </mergeCells>
  <conditionalFormatting sqref="E22:E41">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4">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1" type="list">
      <formula1>"0,1,2,N/A"</formula1>
      <formula2>0</formula2>
    </dataValidation>
    <dataValidation allowBlank="true" errorStyle="stop" operator="between" showDropDown="false" showErrorMessage="false" showInputMessage="false" sqref="E61:E68"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38F"/>
    <pageSetUpPr fitToPage="false"/>
  </sheetPr>
  <dimension ref="A1: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45" t="s">
        <v>289</v>
      </c>
      <c r="B1" s="45"/>
      <c r="C1" s="45"/>
      <c r="D1" s="45"/>
      <c r="E1" s="45"/>
      <c r="F1" s="45"/>
      <c r="G1" s="45"/>
      <c r="H1" s="45"/>
    </row>
    <row r="3" customFormat="false" ht="21.75" hidden="false" customHeight="true" outlineLevel="0" collapsed="false">
      <c r="A3" s="20" t="s">
        <v>68</v>
      </c>
      <c r="B3" s="21" t="s">
        <v>27</v>
      </c>
      <c r="C3" s="21"/>
      <c r="D3" s="21"/>
      <c r="E3" s="21"/>
      <c r="F3" s="21"/>
      <c r="G3" s="21"/>
      <c r="H3" s="21"/>
    </row>
    <row r="4" customFormat="false" ht="21.75" hidden="false" customHeight="true" outlineLevel="0" collapsed="false">
      <c r="A4" s="20" t="s">
        <v>69</v>
      </c>
      <c r="B4" s="21" t="s">
        <v>28</v>
      </c>
      <c r="C4" s="21"/>
      <c r="D4" s="21"/>
      <c r="E4" s="21"/>
      <c r="F4" s="21"/>
      <c r="G4" s="21"/>
      <c r="H4" s="21"/>
    </row>
    <row r="5" customFormat="false" ht="21.75" hidden="false" customHeight="true" outlineLevel="0" collapsed="false">
      <c r="A5" s="20" t="s">
        <v>11</v>
      </c>
      <c r="B5" s="21" t="s">
        <v>29</v>
      </c>
      <c r="C5" s="21"/>
      <c r="D5" s="21"/>
      <c r="E5" s="21"/>
      <c r="F5" s="21"/>
      <c r="G5" s="21"/>
      <c r="H5" s="21"/>
    </row>
    <row r="6" customFormat="false" ht="21.75" hidden="false" customHeight="true" outlineLevel="0" collapsed="false">
      <c r="A6" s="20" t="s">
        <v>12</v>
      </c>
      <c r="B6" s="21" t="s">
        <v>30</v>
      </c>
      <c r="C6" s="21"/>
      <c r="D6" s="21"/>
      <c r="E6" s="21"/>
      <c r="F6" s="21"/>
      <c r="G6" s="21"/>
      <c r="H6" s="21"/>
    </row>
    <row r="7" customFormat="false" ht="21.75" hidden="false" customHeight="true" outlineLevel="0" collapsed="false">
      <c r="A7" s="20" t="s">
        <v>13</v>
      </c>
      <c r="B7" s="21" t="s">
        <v>31</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46" t="s">
        <v>76</v>
      </c>
      <c r="B12" s="46"/>
      <c r="C12" s="46"/>
      <c r="D12" s="46"/>
      <c r="E12" s="46"/>
      <c r="F12" s="46"/>
      <c r="G12" s="46"/>
      <c r="H12" s="46"/>
    </row>
    <row r="13" customFormat="false" ht="39.75" hidden="false" customHeight="true" outlineLevel="0" collapsed="false">
      <c r="A13" s="24" t="s">
        <v>77</v>
      </c>
      <c r="B13" s="25" t="s">
        <v>290</v>
      </c>
      <c r="C13" s="25"/>
      <c r="D13" s="25"/>
      <c r="E13" s="25"/>
      <c r="F13" s="25"/>
      <c r="G13" s="25"/>
      <c r="H13" s="25"/>
    </row>
    <row r="14" customFormat="false" ht="97.5" hidden="false" customHeight="true" outlineLevel="0" collapsed="false">
      <c r="A14" s="24" t="s">
        <v>79</v>
      </c>
      <c r="B14" s="25" t="s">
        <v>291</v>
      </c>
      <c r="C14" s="25"/>
      <c r="D14" s="25"/>
      <c r="E14" s="25"/>
      <c r="F14" s="25"/>
      <c r="G14" s="25"/>
      <c r="H14" s="25"/>
    </row>
    <row r="15" customFormat="false" ht="145.5" hidden="false" customHeight="true" outlineLevel="0" collapsed="false">
      <c r="A15" s="24" t="s">
        <v>81</v>
      </c>
      <c r="B15" s="25" t="s">
        <v>292</v>
      </c>
      <c r="C15" s="25"/>
      <c r="D15" s="25"/>
      <c r="E15" s="25"/>
      <c r="F15" s="25"/>
      <c r="G15" s="25"/>
      <c r="H15" s="25"/>
    </row>
    <row r="17" customFormat="false" ht="31.5" hidden="false" customHeight="true" outlineLevel="0" collapsed="false">
      <c r="A17" s="46" t="s">
        <v>83</v>
      </c>
      <c r="B17" s="46"/>
      <c r="C17" s="46"/>
      <c r="D17" s="46"/>
      <c r="E17" s="46"/>
      <c r="F17" s="46"/>
      <c r="G17" s="46"/>
      <c r="H17" s="46"/>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46" t="s">
        <v>85</v>
      </c>
      <c r="B20" s="46"/>
      <c r="C20" s="46"/>
      <c r="D20" s="46"/>
      <c r="E20" s="46"/>
      <c r="F20" s="46"/>
      <c r="G20" s="46"/>
      <c r="H20" s="46"/>
    </row>
    <row r="21" customFormat="false" ht="36" hidden="false" customHeight="true" outlineLevel="0" collapsed="false">
      <c r="A21" s="47" t="s">
        <v>86</v>
      </c>
      <c r="B21" s="47" t="s">
        <v>87</v>
      </c>
      <c r="C21" s="47" t="s">
        <v>88</v>
      </c>
      <c r="D21" s="47" t="s">
        <v>89</v>
      </c>
      <c r="E21" s="47" t="s">
        <v>90</v>
      </c>
      <c r="F21" s="47" t="s">
        <v>91</v>
      </c>
      <c r="G21" s="47" t="s">
        <v>92</v>
      </c>
      <c r="H21" s="47" t="s">
        <v>93</v>
      </c>
    </row>
    <row r="22" customFormat="false" ht="42" hidden="false" customHeight="true" outlineLevel="0" collapsed="false">
      <c r="A22" s="48" t="s">
        <v>293</v>
      </c>
      <c r="B22" s="7" t="s">
        <v>294</v>
      </c>
      <c r="C22" s="29" t="s">
        <v>295</v>
      </c>
      <c r="D22" s="10" t="n">
        <v>5</v>
      </c>
      <c r="E22" s="29"/>
      <c r="F22" s="29" t="str">
        <f aca="false">IF(E22="","",IF(UPPER(E22)="N/A","N/A",D22*E22))</f>
        <v/>
      </c>
      <c r="G22" s="30" t="s">
        <v>296</v>
      </c>
      <c r="H22" s="7"/>
    </row>
    <row r="23" customFormat="false" ht="39.75" hidden="false" customHeight="true" outlineLevel="0" collapsed="false">
      <c r="A23" s="48" t="s">
        <v>297</v>
      </c>
      <c r="B23" s="7" t="s">
        <v>298</v>
      </c>
      <c r="C23" s="29" t="s">
        <v>299</v>
      </c>
      <c r="D23" s="10" t="n">
        <v>3</v>
      </c>
      <c r="E23" s="29"/>
      <c r="F23" s="29" t="str">
        <f aca="false">IF(E23="","",IF(UPPER(E23)="N/A","N/A",D23*E23))</f>
        <v/>
      </c>
      <c r="G23" s="30" t="s">
        <v>300</v>
      </c>
      <c r="H23" s="7"/>
    </row>
    <row r="24" customFormat="false" ht="39.75" hidden="false" customHeight="true" outlineLevel="0" collapsed="false">
      <c r="A24" s="48" t="s">
        <v>301</v>
      </c>
      <c r="B24" s="7" t="s">
        <v>302</v>
      </c>
      <c r="C24" s="29" t="s">
        <v>303</v>
      </c>
      <c r="D24" s="10" t="n">
        <v>5</v>
      </c>
      <c r="E24" s="29"/>
      <c r="F24" s="29" t="str">
        <f aca="false">IF(E24="","",IF(UPPER(E24)="N/A","N/A",D24*E24))</f>
        <v/>
      </c>
      <c r="G24" s="30" t="s">
        <v>304</v>
      </c>
      <c r="H24" s="7"/>
    </row>
    <row r="25" customFormat="false" ht="39.75" hidden="false" customHeight="true" outlineLevel="0" collapsed="false">
      <c r="A25" s="48" t="s">
        <v>305</v>
      </c>
      <c r="B25" s="7" t="s">
        <v>306</v>
      </c>
      <c r="C25" s="29" t="s">
        <v>307</v>
      </c>
      <c r="D25" s="10" t="n">
        <v>4</v>
      </c>
      <c r="E25" s="29"/>
      <c r="F25" s="29" t="str">
        <f aca="false">IF(E25="","",IF(UPPER(E25)="N/A","N/A",D25*E25))</f>
        <v/>
      </c>
      <c r="G25" s="30" t="s">
        <v>308</v>
      </c>
      <c r="H25" s="7"/>
    </row>
    <row r="26" customFormat="false" ht="39.75" hidden="false" customHeight="true" outlineLevel="0" collapsed="false">
      <c r="A26" s="48" t="s">
        <v>309</v>
      </c>
      <c r="B26" s="7" t="s">
        <v>310</v>
      </c>
      <c r="C26" s="29" t="s">
        <v>311</v>
      </c>
      <c r="D26" s="10" t="n">
        <v>4</v>
      </c>
      <c r="E26" s="29"/>
      <c r="F26" s="29" t="str">
        <f aca="false">IF(E26="","",IF(UPPER(E26)="N/A","N/A",D26*E26))</f>
        <v/>
      </c>
      <c r="G26" s="30" t="s">
        <v>312</v>
      </c>
      <c r="H26" s="7"/>
    </row>
    <row r="27" customFormat="false" ht="39.75" hidden="false" customHeight="true" outlineLevel="0" collapsed="false">
      <c r="A27" s="48" t="s">
        <v>313</v>
      </c>
      <c r="B27" s="7" t="s">
        <v>314</v>
      </c>
      <c r="C27" s="29" t="s">
        <v>315</v>
      </c>
      <c r="D27" s="10" t="n">
        <v>3</v>
      </c>
      <c r="E27" s="29"/>
      <c r="F27" s="29" t="str">
        <f aca="false">IF(E27="","",IF(UPPER(E27)="N/A","N/A",D27*E27))</f>
        <v/>
      </c>
      <c r="G27" s="30" t="s">
        <v>316</v>
      </c>
      <c r="H27" s="7"/>
    </row>
    <row r="28" customFormat="false" ht="39.75" hidden="false" customHeight="true" outlineLevel="0" collapsed="false">
      <c r="A28" s="48" t="s">
        <v>317</v>
      </c>
      <c r="B28" s="7" t="s">
        <v>318</v>
      </c>
      <c r="C28" s="29" t="s">
        <v>319</v>
      </c>
      <c r="D28" s="10" t="n">
        <v>5</v>
      </c>
      <c r="E28" s="29"/>
      <c r="F28" s="29" t="str">
        <f aca="false">IF(E28="","",IF(UPPER(E28)="N/A","N/A",D28*E28))</f>
        <v/>
      </c>
      <c r="G28" s="30" t="s">
        <v>320</v>
      </c>
      <c r="H28" s="7"/>
    </row>
    <row r="29" customFormat="false" ht="39.75" hidden="false" customHeight="true" outlineLevel="0" collapsed="false">
      <c r="A29" s="48" t="s">
        <v>321</v>
      </c>
      <c r="B29" s="7" t="s">
        <v>322</v>
      </c>
      <c r="C29" s="29" t="s">
        <v>323</v>
      </c>
      <c r="D29" s="10" t="n">
        <v>4</v>
      </c>
      <c r="E29" s="29"/>
      <c r="F29" s="29" t="str">
        <f aca="false">IF(E29="","",IF(UPPER(E29)="N/A","N/A",D29*E29))</f>
        <v/>
      </c>
      <c r="G29" s="30" t="s">
        <v>324</v>
      </c>
      <c r="H29" s="7"/>
    </row>
    <row r="30" customFormat="false" ht="39.75" hidden="false" customHeight="true" outlineLevel="0" collapsed="false">
      <c r="A30" s="48" t="s">
        <v>325</v>
      </c>
      <c r="B30" s="7" t="s">
        <v>326</v>
      </c>
      <c r="C30" s="29" t="s">
        <v>327</v>
      </c>
      <c r="D30" s="10" t="n">
        <v>3</v>
      </c>
      <c r="E30" s="29"/>
      <c r="F30" s="29" t="str">
        <f aca="false">IF(E30="","",IF(UPPER(E30)="N/A","N/A",D30*E30))</f>
        <v/>
      </c>
      <c r="G30" s="30" t="s">
        <v>324</v>
      </c>
      <c r="H30" s="7"/>
    </row>
    <row r="31" customFormat="false" ht="39.75" hidden="false" customHeight="true" outlineLevel="0" collapsed="false">
      <c r="A31" s="48" t="s">
        <v>328</v>
      </c>
      <c r="B31" s="7" t="s">
        <v>329</v>
      </c>
      <c r="C31" s="29" t="s">
        <v>330</v>
      </c>
      <c r="D31" s="10" t="n">
        <v>4</v>
      </c>
      <c r="E31" s="29"/>
      <c r="F31" s="29" t="str">
        <f aca="false">IF(E31="","",IF(UPPER(E31)="N/A","N/A",D31*E31))</f>
        <v/>
      </c>
      <c r="G31" s="30" t="s">
        <v>331</v>
      </c>
      <c r="H31" s="7"/>
    </row>
    <row r="32" customFormat="false" ht="39.75" hidden="false" customHeight="true" outlineLevel="0" collapsed="false">
      <c r="A32" s="48" t="s">
        <v>332</v>
      </c>
      <c r="B32" s="7" t="s">
        <v>333</v>
      </c>
      <c r="C32" s="29" t="s">
        <v>334</v>
      </c>
      <c r="D32" s="10" t="n">
        <v>4</v>
      </c>
      <c r="E32" s="29"/>
      <c r="F32" s="29" t="str">
        <f aca="false">IF(E32="","",IF(UPPER(E32)="N/A","N/A",D32*E32))</f>
        <v/>
      </c>
      <c r="G32" s="30" t="s">
        <v>335</v>
      </c>
      <c r="H32" s="7"/>
    </row>
    <row r="33" customFormat="false" ht="42" hidden="false" customHeight="true" outlineLevel="0" collapsed="false">
      <c r="A33" s="48" t="s">
        <v>336</v>
      </c>
      <c r="B33" s="7" t="s">
        <v>337</v>
      </c>
      <c r="C33" s="29" t="s">
        <v>338</v>
      </c>
      <c r="D33" s="10" t="n">
        <v>4</v>
      </c>
      <c r="E33" s="29"/>
      <c r="F33" s="29" t="str">
        <f aca="false">IF(E33="","",IF(UPPER(E33)="N/A","N/A",D33*E33))</f>
        <v/>
      </c>
      <c r="G33" s="30" t="s">
        <v>339</v>
      </c>
      <c r="H33" s="7"/>
    </row>
    <row r="34" customFormat="false" ht="42" hidden="false" customHeight="true" outlineLevel="0" collapsed="false">
      <c r="A34" s="48" t="s">
        <v>340</v>
      </c>
      <c r="B34" s="7" t="s">
        <v>341</v>
      </c>
      <c r="C34" s="29" t="s">
        <v>342</v>
      </c>
      <c r="D34" s="10" t="n">
        <v>3</v>
      </c>
      <c r="E34" s="29"/>
      <c r="F34" s="29" t="str">
        <f aca="false">IF(E34="","",IF(UPPER(E34)="N/A","N/A",D34*E34))</f>
        <v/>
      </c>
      <c r="G34" s="30" t="s">
        <v>343</v>
      </c>
      <c r="H34" s="7"/>
    </row>
    <row r="35" customFormat="false" ht="39.75" hidden="false" customHeight="true" outlineLevel="0" collapsed="false">
      <c r="A35" s="48" t="s">
        <v>344</v>
      </c>
      <c r="B35" s="7" t="s">
        <v>345</v>
      </c>
      <c r="C35" s="29" t="s">
        <v>346</v>
      </c>
      <c r="D35" s="10" t="n">
        <v>5</v>
      </c>
      <c r="E35" s="29"/>
      <c r="F35" s="29" t="str">
        <f aca="false">IF(E35="","",IF(UPPER(E35)="N/A","N/A",D35*E35))</f>
        <v/>
      </c>
      <c r="G35" s="30" t="s">
        <v>347</v>
      </c>
      <c r="H35" s="7"/>
    </row>
    <row r="36" customFormat="false" ht="39.75" hidden="false" customHeight="true" outlineLevel="0" collapsed="false">
      <c r="A36" s="48" t="s">
        <v>348</v>
      </c>
      <c r="B36" s="7" t="s">
        <v>349</v>
      </c>
      <c r="C36" s="29" t="s">
        <v>350</v>
      </c>
      <c r="D36" s="10" t="n">
        <v>4</v>
      </c>
      <c r="E36" s="29"/>
      <c r="F36" s="29" t="str">
        <f aca="false">IF(E36="","",IF(UPPER(E36)="N/A","N/A",D36*E36))</f>
        <v/>
      </c>
      <c r="G36" s="30" t="s">
        <v>351</v>
      </c>
      <c r="H36" s="7"/>
    </row>
    <row r="37" customFormat="false" ht="39.75" hidden="false" customHeight="true" outlineLevel="0" collapsed="false">
      <c r="A37" s="48" t="s">
        <v>352</v>
      </c>
      <c r="B37" s="7" t="s">
        <v>353</v>
      </c>
      <c r="C37" s="29" t="s">
        <v>354</v>
      </c>
      <c r="D37" s="10" t="n">
        <v>3</v>
      </c>
      <c r="E37" s="29"/>
      <c r="F37" s="29" t="str">
        <f aca="false">IF(E37="","",IF(UPPER(E37)="N/A","N/A",D37*E37))</f>
        <v/>
      </c>
      <c r="G37" s="30" t="s">
        <v>355</v>
      </c>
      <c r="H37" s="7"/>
    </row>
    <row r="38" customFormat="false" ht="39.75" hidden="false" customHeight="true" outlineLevel="0" collapsed="false">
      <c r="A38" s="48" t="s">
        <v>356</v>
      </c>
      <c r="B38" s="7" t="s">
        <v>357</v>
      </c>
      <c r="C38" s="29" t="s">
        <v>358</v>
      </c>
      <c r="D38" s="10" t="n">
        <v>3</v>
      </c>
      <c r="E38" s="29"/>
      <c r="F38" s="29" t="str">
        <f aca="false">IF(E38="","",IF(UPPER(E38)="N/A","N/A",D38*E38))</f>
        <v/>
      </c>
      <c r="G38" s="30" t="s">
        <v>359</v>
      </c>
      <c r="H38" s="7"/>
    </row>
    <row r="39" customFormat="false" ht="39.75" hidden="false" customHeight="true" outlineLevel="0" collapsed="false">
      <c r="A39" s="48" t="s">
        <v>360</v>
      </c>
      <c r="B39" s="7" t="s">
        <v>361</v>
      </c>
      <c r="C39" s="29" t="s">
        <v>303</v>
      </c>
      <c r="D39" s="10" t="n">
        <v>4</v>
      </c>
      <c r="E39" s="29"/>
      <c r="F39" s="29" t="str">
        <f aca="false">IF(E39="","",IF(UPPER(E39)="N/A","N/A",D39*E39))</f>
        <v/>
      </c>
      <c r="G39" s="30" t="s">
        <v>362</v>
      </c>
      <c r="H39" s="7"/>
    </row>
    <row r="40" customFormat="false" ht="39.75" hidden="false" customHeight="true" outlineLevel="0" collapsed="false">
      <c r="A40" s="48" t="s">
        <v>363</v>
      </c>
      <c r="B40" s="7" t="s">
        <v>364</v>
      </c>
      <c r="C40" s="29" t="s">
        <v>334</v>
      </c>
      <c r="D40" s="10" t="n">
        <v>3</v>
      </c>
      <c r="E40" s="29"/>
      <c r="F40" s="29" t="str">
        <f aca="false">IF(E40="","",IF(UPPER(E40)="N/A","N/A",D40*E40))</f>
        <v/>
      </c>
      <c r="G40" s="30" t="s">
        <v>365</v>
      </c>
      <c r="H40" s="7"/>
    </row>
    <row r="41" customFormat="false" ht="39.75" hidden="false" customHeight="true" outlineLevel="0" collapsed="false">
      <c r="A41" s="48" t="s">
        <v>366</v>
      </c>
      <c r="B41" s="7" t="s">
        <v>367</v>
      </c>
      <c r="C41" s="29" t="s">
        <v>368</v>
      </c>
      <c r="D41" s="10" t="n">
        <v>3</v>
      </c>
      <c r="E41" s="29"/>
      <c r="F41" s="29" t="str">
        <f aca="false">IF(E41="","",IF(UPPER(E41)="N/A","N/A",D41*E41))</f>
        <v/>
      </c>
      <c r="G41" s="30" t="s">
        <v>369</v>
      </c>
      <c r="H41" s="7"/>
    </row>
    <row r="42" customFormat="false" ht="39.75" hidden="false" customHeight="true" outlineLevel="0" collapsed="false">
      <c r="A42" s="48" t="s">
        <v>370</v>
      </c>
      <c r="B42" s="7" t="s">
        <v>371</v>
      </c>
      <c r="C42" s="29" t="s">
        <v>372</v>
      </c>
      <c r="D42" s="10" t="n">
        <v>2</v>
      </c>
      <c r="E42" s="29"/>
      <c r="F42" s="29" t="str">
        <f aca="false">IF(E42="","",IF(UPPER(E42)="N/A","N/A",D42*E42))</f>
        <v/>
      </c>
      <c r="G42" s="30" t="s">
        <v>373</v>
      </c>
      <c r="H42" s="7"/>
    </row>
    <row r="44" customFormat="false" ht="31.5" hidden="false" customHeight="true" outlineLevel="0" collapsed="false">
      <c r="A44" s="46" t="s">
        <v>181</v>
      </c>
      <c r="B44" s="46"/>
      <c r="C44" s="46"/>
      <c r="D44" s="46"/>
      <c r="E44" s="46"/>
      <c r="F44" s="46"/>
      <c r="G44" s="46"/>
      <c r="H44" s="46"/>
    </row>
    <row r="45" customFormat="false" ht="36" hidden="false" customHeight="true" outlineLevel="0" collapsed="false">
      <c r="A45" s="20" t="s">
        <v>182</v>
      </c>
      <c r="B45" s="31" t="n">
        <f aca="false">SUMPRODUCT(IFERROR((F22:F42+0),0))</f>
        <v>0</v>
      </c>
      <c r="C45" s="20" t="s">
        <v>183</v>
      </c>
      <c r="D45" s="31" t="n">
        <f aca="false">SUMPRODUCT((F22:F42&lt;&gt;"N/A")*(F22:F42&lt;&gt;"")*(D22:D42*2))</f>
        <v>0</v>
      </c>
      <c r="E45" s="20" t="s">
        <v>15</v>
      </c>
      <c r="F45" s="49" t="str">
        <f aca="false">IFERROR(B45/D45,"")</f>
        <v/>
      </c>
      <c r="G45" s="20" t="s">
        <v>16</v>
      </c>
      <c r="H45" s="33" t="str">
        <f aca="false">IFERROR(IF(F45="","",IF(F45&gt;=0.95,"Compliant",IF(F45&gt;=0.85,"Substantially compliant",IF(F45&gt;=0.7,"Partially compliant","Non-compliant")))),"")</f>
        <v/>
      </c>
    </row>
    <row r="47" customFormat="false" ht="15" hidden="false" customHeight="false" outlineLevel="0" collapsed="false">
      <c r="A47" s="34" t="s">
        <v>184</v>
      </c>
      <c r="B47" s="34"/>
      <c r="C47" s="34"/>
      <c r="D47" s="34"/>
      <c r="E47" s="34"/>
      <c r="F47" s="34"/>
      <c r="G47" s="34"/>
      <c r="H47" s="34"/>
    </row>
    <row r="49" customFormat="false" ht="31.5" hidden="false" customHeight="true" outlineLevel="0" collapsed="false">
      <c r="A49" s="46" t="s">
        <v>185</v>
      </c>
      <c r="B49" s="46"/>
      <c r="C49" s="46"/>
      <c r="D49" s="46"/>
      <c r="E49" s="46"/>
      <c r="F49" s="46"/>
      <c r="G49" s="46"/>
      <c r="H49" s="46"/>
    </row>
    <row r="50" customFormat="false" ht="25.5" hidden="false" customHeight="true" outlineLevel="0" collapsed="false">
      <c r="A50" s="35" t="s">
        <v>186</v>
      </c>
      <c r="B50" s="35"/>
      <c r="C50" s="35"/>
      <c r="D50" s="35"/>
      <c r="E50" s="35"/>
      <c r="F50" s="35"/>
      <c r="G50" s="35"/>
      <c r="H50" s="35"/>
    </row>
    <row r="51" customFormat="false" ht="25.5" hidden="false" customHeight="true" outlineLevel="0" collapsed="false">
      <c r="A51" s="35"/>
      <c r="B51" s="35"/>
      <c r="C51" s="35"/>
      <c r="D51" s="35"/>
      <c r="E51" s="35"/>
      <c r="F51" s="35"/>
      <c r="G51" s="35"/>
      <c r="H51" s="35"/>
    </row>
    <row r="52" customFormat="false" ht="25.5" hidden="false" customHeight="true" outlineLevel="0" collapsed="false">
      <c r="A52" s="35"/>
      <c r="B52" s="35"/>
      <c r="C52" s="35"/>
      <c r="D52" s="35"/>
      <c r="E52" s="35"/>
      <c r="F52" s="35"/>
      <c r="G52" s="35"/>
      <c r="H52" s="35"/>
    </row>
    <row r="53" customFormat="false" ht="25.5" hidden="false" customHeight="true" outlineLevel="0" collapsed="false">
      <c r="A53" s="35"/>
      <c r="B53" s="35"/>
      <c r="C53" s="35"/>
      <c r="D53" s="35"/>
      <c r="E53" s="35"/>
      <c r="F53" s="35"/>
      <c r="G53" s="35"/>
      <c r="H53" s="35"/>
    </row>
    <row r="55" customFormat="false" ht="31.5" hidden="false" customHeight="true" outlineLevel="0" collapsed="false">
      <c r="A55" s="46" t="s">
        <v>187</v>
      </c>
      <c r="B55" s="46"/>
      <c r="C55" s="46"/>
      <c r="D55" s="46"/>
      <c r="E55" s="46"/>
      <c r="F55" s="46"/>
      <c r="G55" s="46"/>
      <c r="H55" s="46"/>
    </row>
    <row r="56" customFormat="false" ht="25.5" hidden="false" customHeight="true" outlineLevel="0" collapsed="false">
      <c r="A56" s="35" t="s">
        <v>188</v>
      </c>
      <c r="B56" s="35"/>
      <c r="C56" s="35"/>
      <c r="D56" s="35"/>
      <c r="E56" s="35"/>
      <c r="F56" s="35"/>
      <c r="G56" s="35"/>
      <c r="H56" s="35"/>
    </row>
    <row r="57" customFormat="false" ht="25.5" hidden="false" customHeight="true" outlineLevel="0" collapsed="false">
      <c r="A57" s="35"/>
      <c r="B57" s="35"/>
      <c r="C57" s="35"/>
      <c r="D57" s="35"/>
      <c r="E57" s="35"/>
      <c r="F57" s="35"/>
      <c r="G57" s="35"/>
      <c r="H57" s="35"/>
    </row>
    <row r="58" customFormat="false" ht="25.5" hidden="false" customHeight="true" outlineLevel="0" collapsed="false">
      <c r="A58" s="35"/>
      <c r="B58" s="35"/>
      <c r="C58" s="35"/>
      <c r="D58" s="35"/>
      <c r="E58" s="35"/>
      <c r="F58" s="35"/>
      <c r="G58" s="35"/>
      <c r="H58" s="35"/>
    </row>
    <row r="60" customFormat="false" ht="31.5" hidden="false" customHeight="true" outlineLevel="0" collapsed="false">
      <c r="A60" s="46" t="s">
        <v>189</v>
      </c>
      <c r="B60" s="46"/>
      <c r="C60" s="46"/>
      <c r="D60" s="46"/>
      <c r="E60" s="46"/>
      <c r="F60" s="46"/>
      <c r="G60" s="46"/>
      <c r="H60" s="46"/>
    </row>
    <row r="61" customFormat="false" ht="27.75" hidden="false" customHeight="true" outlineLevel="0" collapsed="false">
      <c r="A61" s="47" t="s">
        <v>190</v>
      </c>
      <c r="B61" s="47" t="s">
        <v>191</v>
      </c>
      <c r="C61" s="47" t="s">
        <v>12</v>
      </c>
      <c r="D61" s="47" t="s">
        <v>192</v>
      </c>
      <c r="E61" s="47" t="s">
        <v>193</v>
      </c>
      <c r="F61" s="47" t="s">
        <v>194</v>
      </c>
      <c r="G61" s="47" t="s">
        <v>195</v>
      </c>
      <c r="H61" s="47" t="s">
        <v>196</v>
      </c>
    </row>
    <row r="62" customFormat="false" ht="27.75" hidden="false" customHeight="true" outlineLevel="0" collapsed="false">
      <c r="A62" s="10" t="n">
        <v>1</v>
      </c>
      <c r="B62" s="7"/>
      <c r="C62" s="7"/>
      <c r="D62" s="8"/>
      <c r="E62" s="7"/>
      <c r="F62" s="7"/>
      <c r="G62" s="7"/>
      <c r="H62" s="8"/>
    </row>
    <row r="63" customFormat="false" ht="27.75" hidden="false" customHeight="true" outlineLevel="0" collapsed="false">
      <c r="A63" s="10" t="n">
        <v>2</v>
      </c>
      <c r="B63" s="7"/>
      <c r="C63" s="7"/>
      <c r="D63" s="8"/>
      <c r="E63" s="7"/>
      <c r="F63" s="7"/>
      <c r="G63" s="7"/>
      <c r="H63" s="8"/>
    </row>
    <row r="64" customFormat="false" ht="27.75" hidden="false" customHeight="true" outlineLevel="0" collapsed="false">
      <c r="A64" s="10" t="n">
        <v>3</v>
      </c>
      <c r="B64" s="7"/>
      <c r="C64" s="7"/>
      <c r="D64" s="8"/>
      <c r="E64" s="7"/>
      <c r="F64" s="7"/>
      <c r="G64" s="7"/>
      <c r="H64" s="8"/>
    </row>
    <row r="65" customFormat="false" ht="27.75" hidden="false" customHeight="true" outlineLevel="0" collapsed="false">
      <c r="A65" s="10" t="n">
        <v>4</v>
      </c>
      <c r="B65" s="7"/>
      <c r="C65" s="7"/>
      <c r="D65" s="8"/>
      <c r="E65" s="7"/>
      <c r="F65" s="7"/>
      <c r="G65" s="7"/>
      <c r="H65" s="8"/>
    </row>
    <row r="66" customFormat="false" ht="27.75" hidden="false" customHeight="true" outlineLevel="0" collapsed="false">
      <c r="A66" s="10" t="n">
        <v>5</v>
      </c>
      <c r="B66" s="7"/>
      <c r="C66" s="7"/>
      <c r="D66" s="8"/>
      <c r="E66" s="7"/>
      <c r="F66" s="7"/>
      <c r="G66" s="7"/>
      <c r="H66" s="8"/>
    </row>
    <row r="67" customFormat="false" ht="27.75" hidden="false" customHeight="true" outlineLevel="0" collapsed="false">
      <c r="A67" s="10" t="n">
        <v>6</v>
      </c>
      <c r="B67" s="7"/>
      <c r="C67" s="7"/>
      <c r="D67" s="8"/>
      <c r="E67" s="7"/>
      <c r="F67" s="7"/>
      <c r="G67" s="7"/>
      <c r="H67" s="8"/>
    </row>
    <row r="68" customFormat="false" ht="27.75" hidden="false" customHeight="true" outlineLevel="0" collapsed="false">
      <c r="A68" s="10" t="n">
        <v>7</v>
      </c>
      <c r="B68" s="7"/>
      <c r="C68" s="7"/>
      <c r="D68" s="8"/>
      <c r="E68" s="7"/>
      <c r="F68" s="7"/>
      <c r="G68" s="7"/>
      <c r="H68" s="8"/>
    </row>
    <row r="69" customFormat="false" ht="27.75" hidden="false" customHeight="true" outlineLevel="0" collapsed="false">
      <c r="A69" s="10" t="n">
        <v>8</v>
      </c>
      <c r="B69" s="7"/>
      <c r="C69" s="7"/>
      <c r="D69" s="8"/>
      <c r="E69" s="7"/>
      <c r="F69" s="7"/>
      <c r="G69" s="7"/>
      <c r="H69" s="8"/>
    </row>
    <row r="71" customFormat="false" ht="31.5" hidden="false" customHeight="true" outlineLevel="0" collapsed="false">
      <c r="A71" s="46" t="s">
        <v>197</v>
      </c>
      <c r="B71" s="46"/>
      <c r="C71" s="46"/>
      <c r="D71" s="46"/>
      <c r="E71" s="46"/>
      <c r="F71" s="46"/>
      <c r="G71" s="46"/>
      <c r="H71" s="46"/>
    </row>
    <row r="72" customFormat="false" ht="24" hidden="false" customHeight="true" outlineLevel="0" collapsed="false">
      <c r="A72" s="36" t="s">
        <v>198</v>
      </c>
      <c r="B72" s="36"/>
      <c r="C72" s="36" t="s">
        <v>199</v>
      </c>
      <c r="D72" s="36"/>
      <c r="E72" s="36" t="s">
        <v>200</v>
      </c>
      <c r="F72" s="36"/>
      <c r="G72" s="36" t="s">
        <v>201</v>
      </c>
      <c r="H72" s="36"/>
    </row>
    <row r="73" customFormat="false" ht="30" hidden="false" customHeight="true" outlineLevel="0" collapsed="false">
      <c r="A73" s="37" t="s">
        <v>202</v>
      </c>
      <c r="B73" s="37"/>
      <c r="C73" s="38"/>
      <c r="D73" s="38"/>
      <c r="E73" s="38"/>
      <c r="F73" s="38"/>
      <c r="G73" s="39"/>
      <c r="H73" s="39"/>
    </row>
    <row r="74" customFormat="false" ht="30" hidden="false" customHeight="true" outlineLevel="0" collapsed="false">
      <c r="A74" s="37" t="s">
        <v>203</v>
      </c>
      <c r="B74" s="37"/>
      <c r="C74" s="38"/>
      <c r="D74" s="38"/>
      <c r="E74" s="38"/>
      <c r="F74" s="38"/>
      <c r="G74" s="39"/>
      <c r="H74" s="39"/>
    </row>
    <row r="75" customFormat="false" ht="30" hidden="false" customHeight="true" outlineLevel="0" collapsed="false">
      <c r="A75" s="37" t="s">
        <v>204</v>
      </c>
      <c r="B75" s="37"/>
      <c r="C75" s="38"/>
      <c r="D75" s="38"/>
      <c r="E75" s="38"/>
      <c r="F75" s="38"/>
      <c r="G75" s="39"/>
      <c r="H75" s="39"/>
    </row>
    <row r="76" customFormat="false" ht="30" hidden="false" customHeight="true" outlineLevel="0" collapsed="false">
      <c r="A76" s="37" t="s">
        <v>205</v>
      </c>
      <c r="B76" s="37"/>
      <c r="C76" s="38"/>
      <c r="D76" s="38"/>
      <c r="E76" s="38"/>
      <c r="F76" s="38"/>
      <c r="G76" s="39"/>
      <c r="H76"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4:H44"/>
    <mergeCell ref="A47:H47"/>
    <mergeCell ref="A49:H49"/>
    <mergeCell ref="A50:H53"/>
    <mergeCell ref="A55:H55"/>
    <mergeCell ref="A56:H58"/>
    <mergeCell ref="A60:H60"/>
    <mergeCell ref="A71:H71"/>
    <mergeCell ref="A72:B72"/>
    <mergeCell ref="C72:D72"/>
    <mergeCell ref="E72:F72"/>
    <mergeCell ref="G72:H72"/>
    <mergeCell ref="A73:B73"/>
    <mergeCell ref="A74:B74"/>
    <mergeCell ref="A75:B75"/>
    <mergeCell ref="A76:B76"/>
  </mergeCells>
  <conditionalFormatting sqref="E22:E42">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5">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2" type="list">
      <formula1>"0,1,2,N/A"</formula1>
      <formula2>0</formula2>
    </dataValidation>
    <dataValidation allowBlank="true" errorStyle="stop" operator="between" showDropDown="false" showErrorMessage="false" showInputMessage="false" sqref="E62:E69"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1C1C"/>
    <pageSetUpPr fitToPage="false"/>
  </sheetPr>
  <dimension ref="A1: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50" t="s">
        <v>374</v>
      </c>
      <c r="B1" s="50"/>
      <c r="C1" s="50"/>
      <c r="D1" s="50"/>
      <c r="E1" s="50"/>
      <c r="F1" s="50"/>
      <c r="G1" s="50"/>
      <c r="H1" s="50"/>
    </row>
    <row r="3" customFormat="false" ht="21.75" hidden="false" customHeight="true" outlineLevel="0" collapsed="false">
      <c r="A3" s="20" t="s">
        <v>68</v>
      </c>
      <c r="B3" s="21" t="s">
        <v>32</v>
      </c>
      <c r="C3" s="21"/>
      <c r="D3" s="21"/>
      <c r="E3" s="21"/>
      <c r="F3" s="21"/>
      <c r="G3" s="21"/>
      <c r="H3" s="21"/>
    </row>
    <row r="4" customFormat="false" ht="21.75" hidden="false" customHeight="true" outlineLevel="0" collapsed="false">
      <c r="A4" s="20" t="s">
        <v>69</v>
      </c>
      <c r="B4" s="21" t="s">
        <v>33</v>
      </c>
      <c r="C4" s="21"/>
      <c r="D4" s="21"/>
      <c r="E4" s="21"/>
      <c r="F4" s="21"/>
      <c r="G4" s="21"/>
      <c r="H4" s="21"/>
    </row>
    <row r="5" customFormat="false" ht="21.75" hidden="false" customHeight="true" outlineLevel="0" collapsed="false">
      <c r="A5" s="20" t="s">
        <v>11</v>
      </c>
      <c r="B5" s="21" t="s">
        <v>34</v>
      </c>
      <c r="C5" s="21"/>
      <c r="D5" s="21"/>
      <c r="E5" s="21"/>
      <c r="F5" s="21"/>
      <c r="G5" s="21"/>
      <c r="H5" s="21"/>
    </row>
    <row r="6" customFormat="false" ht="21.75" hidden="false" customHeight="true" outlineLevel="0" collapsed="false">
      <c r="A6" s="20" t="s">
        <v>12</v>
      </c>
      <c r="B6" s="21" t="s">
        <v>35</v>
      </c>
      <c r="C6" s="21"/>
      <c r="D6" s="21"/>
      <c r="E6" s="21"/>
      <c r="F6" s="21"/>
      <c r="G6" s="21"/>
      <c r="H6" s="21"/>
    </row>
    <row r="7" customFormat="false" ht="21.75" hidden="false" customHeight="true" outlineLevel="0" collapsed="false">
      <c r="A7" s="20" t="s">
        <v>13</v>
      </c>
      <c r="B7" s="21" t="s">
        <v>36</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51" t="s">
        <v>76</v>
      </c>
      <c r="B12" s="51"/>
      <c r="C12" s="51"/>
      <c r="D12" s="51"/>
      <c r="E12" s="51"/>
      <c r="F12" s="51"/>
      <c r="G12" s="51"/>
      <c r="H12" s="51"/>
    </row>
    <row r="13" customFormat="false" ht="39.75" hidden="false" customHeight="true" outlineLevel="0" collapsed="false">
      <c r="A13" s="24" t="s">
        <v>77</v>
      </c>
      <c r="B13" s="25" t="s">
        <v>375</v>
      </c>
      <c r="C13" s="25"/>
      <c r="D13" s="25"/>
      <c r="E13" s="25"/>
      <c r="F13" s="25"/>
      <c r="G13" s="25"/>
      <c r="H13" s="25"/>
    </row>
    <row r="14" customFormat="false" ht="97.5" hidden="false" customHeight="true" outlineLevel="0" collapsed="false">
      <c r="A14" s="24" t="s">
        <v>79</v>
      </c>
      <c r="B14" s="25" t="s">
        <v>376</v>
      </c>
      <c r="C14" s="25"/>
      <c r="D14" s="25"/>
      <c r="E14" s="25"/>
      <c r="F14" s="25"/>
      <c r="G14" s="25"/>
      <c r="H14" s="25"/>
    </row>
    <row r="15" customFormat="false" ht="159.75" hidden="false" customHeight="true" outlineLevel="0" collapsed="false">
      <c r="A15" s="24" t="s">
        <v>81</v>
      </c>
      <c r="B15" s="25" t="s">
        <v>377</v>
      </c>
      <c r="C15" s="25"/>
      <c r="D15" s="25"/>
      <c r="E15" s="25"/>
      <c r="F15" s="25"/>
      <c r="G15" s="25"/>
      <c r="H15" s="25"/>
    </row>
    <row r="17" customFormat="false" ht="31.5" hidden="false" customHeight="true" outlineLevel="0" collapsed="false">
      <c r="A17" s="51" t="s">
        <v>83</v>
      </c>
      <c r="B17" s="51"/>
      <c r="C17" s="51"/>
      <c r="D17" s="51"/>
      <c r="E17" s="51"/>
      <c r="F17" s="51"/>
      <c r="G17" s="51"/>
      <c r="H17" s="51"/>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51" t="s">
        <v>85</v>
      </c>
      <c r="B20" s="51"/>
      <c r="C20" s="51"/>
      <c r="D20" s="51"/>
      <c r="E20" s="51"/>
      <c r="F20" s="51"/>
      <c r="G20" s="51"/>
      <c r="H20" s="51"/>
    </row>
    <row r="21" customFormat="false" ht="36" hidden="false" customHeight="true" outlineLevel="0" collapsed="false">
      <c r="A21" s="52" t="s">
        <v>86</v>
      </c>
      <c r="B21" s="52" t="s">
        <v>87</v>
      </c>
      <c r="C21" s="52" t="s">
        <v>88</v>
      </c>
      <c r="D21" s="52" t="s">
        <v>89</v>
      </c>
      <c r="E21" s="52" t="s">
        <v>90</v>
      </c>
      <c r="F21" s="52" t="s">
        <v>91</v>
      </c>
      <c r="G21" s="52" t="s">
        <v>92</v>
      </c>
      <c r="H21" s="52" t="s">
        <v>93</v>
      </c>
    </row>
    <row r="22" customFormat="false" ht="42" hidden="false" customHeight="true" outlineLevel="0" collapsed="false">
      <c r="A22" s="53" t="s">
        <v>378</v>
      </c>
      <c r="B22" s="7" t="s">
        <v>379</v>
      </c>
      <c r="C22" s="29" t="s">
        <v>380</v>
      </c>
      <c r="D22" s="10" t="n">
        <v>5</v>
      </c>
      <c r="E22" s="29"/>
      <c r="F22" s="29" t="str">
        <f aca="false">IF(E22="","",IF(UPPER(E22)="N/A","N/A",D22*E22))</f>
        <v/>
      </c>
      <c r="G22" s="30" t="s">
        <v>381</v>
      </c>
      <c r="H22" s="7"/>
    </row>
    <row r="23" customFormat="false" ht="39.75" hidden="false" customHeight="true" outlineLevel="0" collapsed="false">
      <c r="A23" s="53" t="s">
        <v>382</v>
      </c>
      <c r="B23" s="7" t="s">
        <v>383</v>
      </c>
      <c r="C23" s="29" t="s">
        <v>384</v>
      </c>
      <c r="D23" s="10" t="n">
        <v>5</v>
      </c>
      <c r="E23" s="29"/>
      <c r="F23" s="29" t="str">
        <f aca="false">IF(E23="","",IF(UPPER(E23)="N/A","N/A",D23*E23))</f>
        <v/>
      </c>
      <c r="G23" s="30" t="s">
        <v>385</v>
      </c>
      <c r="H23" s="7"/>
    </row>
    <row r="24" customFormat="false" ht="39.75" hidden="false" customHeight="true" outlineLevel="0" collapsed="false">
      <c r="A24" s="53" t="s">
        <v>386</v>
      </c>
      <c r="B24" s="7" t="s">
        <v>387</v>
      </c>
      <c r="C24" s="29" t="s">
        <v>384</v>
      </c>
      <c r="D24" s="10" t="n">
        <v>4</v>
      </c>
      <c r="E24" s="29"/>
      <c r="F24" s="29" t="str">
        <f aca="false">IF(E24="","",IF(UPPER(E24)="N/A","N/A",D24*E24))</f>
        <v/>
      </c>
      <c r="G24" s="30" t="s">
        <v>388</v>
      </c>
      <c r="H24" s="7"/>
    </row>
    <row r="25" customFormat="false" ht="39.75" hidden="false" customHeight="true" outlineLevel="0" collapsed="false">
      <c r="A25" s="53" t="s">
        <v>389</v>
      </c>
      <c r="B25" s="7" t="s">
        <v>390</v>
      </c>
      <c r="C25" s="29" t="s">
        <v>391</v>
      </c>
      <c r="D25" s="10" t="n">
        <v>5</v>
      </c>
      <c r="E25" s="29"/>
      <c r="F25" s="29" t="str">
        <f aca="false">IF(E25="","",IF(UPPER(E25)="N/A","N/A",D25*E25))</f>
        <v/>
      </c>
      <c r="G25" s="30" t="s">
        <v>392</v>
      </c>
      <c r="H25" s="7"/>
    </row>
    <row r="26" customFormat="false" ht="39.75" hidden="false" customHeight="true" outlineLevel="0" collapsed="false">
      <c r="A26" s="53" t="s">
        <v>393</v>
      </c>
      <c r="B26" s="7" t="s">
        <v>394</v>
      </c>
      <c r="C26" s="29" t="s">
        <v>395</v>
      </c>
      <c r="D26" s="10" t="n">
        <v>4</v>
      </c>
      <c r="E26" s="29"/>
      <c r="F26" s="29" t="str">
        <f aca="false">IF(E26="","",IF(UPPER(E26)="N/A","N/A",D26*E26))</f>
        <v/>
      </c>
      <c r="G26" s="30" t="s">
        <v>396</v>
      </c>
      <c r="H26" s="7"/>
    </row>
    <row r="27" customFormat="false" ht="39.75" hidden="false" customHeight="true" outlineLevel="0" collapsed="false">
      <c r="A27" s="53" t="s">
        <v>397</v>
      </c>
      <c r="B27" s="7" t="s">
        <v>398</v>
      </c>
      <c r="C27" s="29" t="s">
        <v>399</v>
      </c>
      <c r="D27" s="10" t="n">
        <v>4</v>
      </c>
      <c r="E27" s="29"/>
      <c r="F27" s="29" t="str">
        <f aca="false">IF(E27="","",IF(UPPER(E27)="N/A","N/A",D27*E27))</f>
        <v/>
      </c>
      <c r="G27" s="30" t="s">
        <v>400</v>
      </c>
      <c r="H27" s="7"/>
    </row>
    <row r="28" customFormat="false" ht="42" hidden="false" customHeight="true" outlineLevel="0" collapsed="false">
      <c r="A28" s="53" t="s">
        <v>401</v>
      </c>
      <c r="B28" s="7" t="s">
        <v>402</v>
      </c>
      <c r="C28" s="29" t="s">
        <v>403</v>
      </c>
      <c r="D28" s="10" t="n">
        <v>5</v>
      </c>
      <c r="E28" s="29"/>
      <c r="F28" s="29" t="str">
        <f aca="false">IF(E28="","",IF(UPPER(E28)="N/A","N/A",D28*E28))</f>
        <v/>
      </c>
      <c r="G28" s="30" t="s">
        <v>404</v>
      </c>
      <c r="H28" s="7"/>
    </row>
    <row r="29" customFormat="false" ht="42" hidden="false" customHeight="true" outlineLevel="0" collapsed="false">
      <c r="A29" s="53" t="s">
        <v>405</v>
      </c>
      <c r="B29" s="7" t="s">
        <v>406</v>
      </c>
      <c r="C29" s="29" t="s">
        <v>407</v>
      </c>
      <c r="D29" s="10" t="n">
        <v>5</v>
      </c>
      <c r="E29" s="29"/>
      <c r="F29" s="29" t="str">
        <f aca="false">IF(E29="","",IF(UPPER(E29)="N/A","N/A",D29*E29))</f>
        <v/>
      </c>
      <c r="G29" s="30" t="s">
        <v>408</v>
      </c>
      <c r="H29" s="7"/>
    </row>
    <row r="30" customFormat="false" ht="42" hidden="false" customHeight="true" outlineLevel="0" collapsed="false">
      <c r="A30" s="53" t="s">
        <v>409</v>
      </c>
      <c r="B30" s="7" t="s">
        <v>410</v>
      </c>
      <c r="C30" s="29" t="s">
        <v>411</v>
      </c>
      <c r="D30" s="10" t="n">
        <v>5</v>
      </c>
      <c r="E30" s="29"/>
      <c r="F30" s="29" t="str">
        <f aca="false">IF(E30="","",IF(UPPER(E30)="N/A","N/A",D30*E30))</f>
        <v/>
      </c>
      <c r="G30" s="30" t="s">
        <v>412</v>
      </c>
      <c r="H30" s="7"/>
    </row>
    <row r="31" customFormat="false" ht="39.75" hidden="false" customHeight="true" outlineLevel="0" collapsed="false">
      <c r="A31" s="53" t="s">
        <v>413</v>
      </c>
      <c r="B31" s="7" t="s">
        <v>414</v>
      </c>
      <c r="C31" s="29" t="s">
        <v>415</v>
      </c>
      <c r="D31" s="10" t="n">
        <v>5</v>
      </c>
      <c r="E31" s="29"/>
      <c r="F31" s="29" t="str">
        <f aca="false">IF(E31="","",IF(UPPER(E31)="N/A","N/A",D31*E31))</f>
        <v/>
      </c>
      <c r="G31" s="30" t="s">
        <v>416</v>
      </c>
      <c r="H31" s="7"/>
    </row>
    <row r="32" customFormat="false" ht="42" hidden="false" customHeight="true" outlineLevel="0" collapsed="false">
      <c r="A32" s="53" t="s">
        <v>417</v>
      </c>
      <c r="B32" s="7" t="s">
        <v>418</v>
      </c>
      <c r="C32" s="29" t="s">
        <v>419</v>
      </c>
      <c r="D32" s="10" t="n">
        <v>4</v>
      </c>
      <c r="E32" s="29"/>
      <c r="F32" s="29" t="str">
        <f aca="false">IF(E32="","",IF(UPPER(E32)="N/A","N/A",D32*E32))</f>
        <v/>
      </c>
      <c r="G32" s="30" t="s">
        <v>420</v>
      </c>
      <c r="H32" s="7"/>
    </row>
    <row r="33" customFormat="false" ht="39.75" hidden="false" customHeight="true" outlineLevel="0" collapsed="false">
      <c r="A33" s="53" t="s">
        <v>421</v>
      </c>
      <c r="B33" s="7" t="s">
        <v>422</v>
      </c>
      <c r="C33" s="29" t="s">
        <v>423</v>
      </c>
      <c r="D33" s="10" t="n">
        <v>4</v>
      </c>
      <c r="E33" s="29"/>
      <c r="F33" s="29" t="str">
        <f aca="false">IF(E33="","",IF(UPPER(E33)="N/A","N/A",D33*E33))</f>
        <v/>
      </c>
      <c r="G33" s="30" t="s">
        <v>424</v>
      </c>
      <c r="H33" s="7"/>
    </row>
    <row r="34" customFormat="false" ht="39.75" hidden="false" customHeight="true" outlineLevel="0" collapsed="false">
      <c r="A34" s="53" t="s">
        <v>425</v>
      </c>
      <c r="B34" s="7" t="s">
        <v>426</v>
      </c>
      <c r="C34" s="29" t="s">
        <v>427</v>
      </c>
      <c r="D34" s="10" t="n">
        <v>4</v>
      </c>
      <c r="E34" s="29"/>
      <c r="F34" s="29" t="str">
        <f aca="false">IF(E34="","",IF(UPPER(E34)="N/A","N/A",D34*E34))</f>
        <v/>
      </c>
      <c r="G34" s="30" t="s">
        <v>428</v>
      </c>
      <c r="H34" s="7"/>
    </row>
    <row r="35" customFormat="false" ht="42" hidden="false" customHeight="true" outlineLevel="0" collapsed="false">
      <c r="A35" s="53" t="s">
        <v>429</v>
      </c>
      <c r="B35" s="7" t="s">
        <v>430</v>
      </c>
      <c r="C35" s="29" t="s">
        <v>431</v>
      </c>
      <c r="D35" s="10" t="n">
        <v>5</v>
      </c>
      <c r="E35" s="29"/>
      <c r="F35" s="29" t="str">
        <f aca="false">IF(E35="","",IF(UPPER(E35)="N/A","N/A",D35*E35))</f>
        <v/>
      </c>
      <c r="G35" s="30" t="s">
        <v>432</v>
      </c>
      <c r="H35" s="7"/>
    </row>
    <row r="36" customFormat="false" ht="42" hidden="false" customHeight="true" outlineLevel="0" collapsed="false">
      <c r="A36" s="53" t="s">
        <v>433</v>
      </c>
      <c r="B36" s="7" t="s">
        <v>434</v>
      </c>
      <c r="C36" s="29" t="s">
        <v>435</v>
      </c>
      <c r="D36" s="10" t="n">
        <v>5</v>
      </c>
      <c r="E36" s="29"/>
      <c r="F36" s="29" t="str">
        <f aca="false">IF(E36="","",IF(UPPER(E36)="N/A","N/A",D36*E36))</f>
        <v/>
      </c>
      <c r="G36" s="30" t="s">
        <v>436</v>
      </c>
      <c r="H36" s="7"/>
    </row>
    <row r="37" customFormat="false" ht="42" hidden="false" customHeight="true" outlineLevel="0" collapsed="false">
      <c r="A37" s="53" t="s">
        <v>437</v>
      </c>
      <c r="B37" s="7" t="s">
        <v>438</v>
      </c>
      <c r="C37" s="29" t="s">
        <v>439</v>
      </c>
      <c r="D37" s="10" t="n">
        <v>5</v>
      </c>
      <c r="E37" s="29"/>
      <c r="F37" s="29" t="str">
        <f aca="false">IF(E37="","",IF(UPPER(E37)="N/A","N/A",D37*E37))</f>
        <v/>
      </c>
      <c r="G37" s="30" t="s">
        <v>440</v>
      </c>
      <c r="H37" s="7"/>
    </row>
    <row r="38" customFormat="false" ht="39.75" hidden="false" customHeight="true" outlineLevel="0" collapsed="false">
      <c r="A38" s="53" t="s">
        <v>441</v>
      </c>
      <c r="B38" s="7" t="s">
        <v>442</v>
      </c>
      <c r="C38" s="29" t="s">
        <v>443</v>
      </c>
      <c r="D38" s="10" t="n">
        <v>3</v>
      </c>
      <c r="E38" s="29"/>
      <c r="F38" s="29" t="str">
        <f aca="false">IF(E38="","",IF(UPPER(E38)="N/A","N/A",D38*E38))</f>
        <v/>
      </c>
      <c r="G38" s="30" t="s">
        <v>444</v>
      </c>
      <c r="H38" s="7"/>
    </row>
    <row r="39" customFormat="false" ht="39.75" hidden="false" customHeight="true" outlineLevel="0" collapsed="false">
      <c r="A39" s="53" t="s">
        <v>445</v>
      </c>
      <c r="B39" s="7" t="s">
        <v>446</v>
      </c>
      <c r="C39" s="29" t="s">
        <v>447</v>
      </c>
      <c r="D39" s="10" t="n">
        <v>3</v>
      </c>
      <c r="E39" s="29"/>
      <c r="F39" s="29" t="str">
        <f aca="false">IF(E39="","",IF(UPPER(E39)="N/A","N/A",D39*E39))</f>
        <v/>
      </c>
      <c r="G39" s="30" t="s">
        <v>448</v>
      </c>
      <c r="H39" s="7"/>
    </row>
    <row r="40" customFormat="false" ht="42" hidden="false" customHeight="true" outlineLevel="0" collapsed="false">
      <c r="A40" s="53" t="s">
        <v>449</v>
      </c>
      <c r="B40" s="7" t="s">
        <v>450</v>
      </c>
      <c r="C40" s="29" t="s">
        <v>451</v>
      </c>
      <c r="D40" s="10" t="n">
        <v>3</v>
      </c>
      <c r="E40" s="29"/>
      <c r="F40" s="29" t="str">
        <f aca="false">IF(E40="","",IF(UPPER(E40)="N/A","N/A",D40*E40))</f>
        <v/>
      </c>
      <c r="G40" s="30" t="s">
        <v>452</v>
      </c>
      <c r="H40" s="7"/>
    </row>
    <row r="41" customFormat="false" ht="39.75" hidden="false" customHeight="true" outlineLevel="0" collapsed="false">
      <c r="A41" s="53" t="s">
        <v>453</v>
      </c>
      <c r="B41" s="7" t="s">
        <v>454</v>
      </c>
      <c r="C41" s="29" t="s">
        <v>455</v>
      </c>
      <c r="D41" s="10" t="n">
        <v>4</v>
      </c>
      <c r="E41" s="29"/>
      <c r="F41" s="29" t="str">
        <f aca="false">IF(E41="","",IF(UPPER(E41)="N/A","N/A",D41*E41))</f>
        <v/>
      </c>
      <c r="G41" s="30" t="s">
        <v>456</v>
      </c>
      <c r="H41" s="7"/>
    </row>
    <row r="42" customFormat="false" ht="42" hidden="false" customHeight="true" outlineLevel="0" collapsed="false">
      <c r="A42" s="53" t="s">
        <v>457</v>
      </c>
      <c r="B42" s="7" t="s">
        <v>458</v>
      </c>
      <c r="C42" s="29" t="s">
        <v>459</v>
      </c>
      <c r="D42" s="10" t="n">
        <v>3</v>
      </c>
      <c r="E42" s="29"/>
      <c r="F42" s="29" t="str">
        <f aca="false">IF(E42="","",IF(UPPER(E42)="N/A","N/A",D42*E42))</f>
        <v/>
      </c>
      <c r="G42" s="30" t="s">
        <v>460</v>
      </c>
      <c r="H42" s="7"/>
    </row>
    <row r="43" customFormat="false" ht="39.75" hidden="false" customHeight="true" outlineLevel="0" collapsed="false">
      <c r="A43" s="53" t="s">
        <v>461</v>
      </c>
      <c r="B43" s="7" t="s">
        <v>462</v>
      </c>
      <c r="C43" s="29" t="s">
        <v>463</v>
      </c>
      <c r="D43" s="10" t="n">
        <v>3</v>
      </c>
      <c r="E43" s="29"/>
      <c r="F43" s="29" t="str">
        <f aca="false">IF(E43="","",IF(UPPER(E43)="N/A","N/A",D43*E43))</f>
        <v/>
      </c>
      <c r="G43" s="30" t="s">
        <v>464</v>
      </c>
      <c r="H43" s="7"/>
    </row>
    <row r="44" customFormat="false" ht="42" hidden="false" customHeight="true" outlineLevel="0" collapsed="false">
      <c r="A44" s="53" t="s">
        <v>465</v>
      </c>
      <c r="B44" s="7" t="s">
        <v>466</v>
      </c>
      <c r="C44" s="29" t="s">
        <v>467</v>
      </c>
      <c r="D44" s="10" t="n">
        <v>4</v>
      </c>
      <c r="E44" s="29"/>
      <c r="F44" s="29" t="str">
        <f aca="false">IF(E44="","",IF(UPPER(E44)="N/A","N/A",D44*E44))</f>
        <v/>
      </c>
      <c r="G44" s="30" t="s">
        <v>468</v>
      </c>
      <c r="H44" s="7"/>
    </row>
    <row r="46" customFormat="false" ht="31.5" hidden="false" customHeight="true" outlineLevel="0" collapsed="false">
      <c r="A46" s="51" t="s">
        <v>181</v>
      </c>
      <c r="B46" s="51"/>
      <c r="C46" s="51"/>
      <c r="D46" s="51"/>
      <c r="E46" s="51"/>
      <c r="F46" s="51"/>
      <c r="G46" s="51"/>
      <c r="H46" s="51"/>
    </row>
    <row r="47" customFormat="false" ht="36" hidden="false" customHeight="true" outlineLevel="0" collapsed="false">
      <c r="A47" s="20" t="s">
        <v>182</v>
      </c>
      <c r="B47" s="31" t="n">
        <f aca="false">SUMPRODUCT(IFERROR((F22:F44+0),0))</f>
        <v>0</v>
      </c>
      <c r="C47" s="20" t="s">
        <v>183</v>
      </c>
      <c r="D47" s="31" t="n">
        <f aca="false">SUMPRODUCT((F22:F44&lt;&gt;"N/A")*(F22:F44&lt;&gt;"")*(D22:D44*2))</f>
        <v>0</v>
      </c>
      <c r="E47" s="20" t="s">
        <v>15</v>
      </c>
      <c r="F47" s="54" t="str">
        <f aca="false">IFERROR(B47/D47,"")</f>
        <v/>
      </c>
      <c r="G47" s="20" t="s">
        <v>16</v>
      </c>
      <c r="H47" s="33" t="str">
        <f aca="false">IFERROR(IF(F47="","",IF(F47&gt;=0.95,"Compliant",IF(F47&gt;=0.85,"Substantially compliant",IF(F47&gt;=0.7,"Partially compliant","Non-compliant")))),"")</f>
        <v/>
      </c>
    </row>
    <row r="49" customFormat="false" ht="15" hidden="false" customHeight="false" outlineLevel="0" collapsed="false">
      <c r="A49" s="34" t="s">
        <v>184</v>
      </c>
      <c r="B49" s="34"/>
      <c r="C49" s="34"/>
      <c r="D49" s="34"/>
      <c r="E49" s="34"/>
      <c r="F49" s="34"/>
      <c r="G49" s="34"/>
      <c r="H49" s="34"/>
    </row>
    <row r="51" customFormat="false" ht="31.5" hidden="false" customHeight="true" outlineLevel="0" collapsed="false">
      <c r="A51" s="51" t="s">
        <v>185</v>
      </c>
      <c r="B51" s="51"/>
      <c r="C51" s="51"/>
      <c r="D51" s="51"/>
      <c r="E51" s="51"/>
      <c r="F51" s="51"/>
      <c r="G51" s="51"/>
      <c r="H51" s="51"/>
    </row>
    <row r="52" customFormat="false" ht="25.5" hidden="false" customHeight="true" outlineLevel="0" collapsed="false">
      <c r="A52" s="35" t="s">
        <v>186</v>
      </c>
      <c r="B52" s="35"/>
      <c r="C52" s="35"/>
      <c r="D52" s="35"/>
      <c r="E52" s="35"/>
      <c r="F52" s="35"/>
      <c r="G52" s="35"/>
      <c r="H52" s="35"/>
    </row>
    <row r="53" customFormat="false" ht="25.5" hidden="false" customHeight="true" outlineLevel="0" collapsed="false">
      <c r="A53" s="35"/>
      <c r="B53" s="35"/>
      <c r="C53" s="35"/>
      <c r="D53" s="35"/>
      <c r="E53" s="35"/>
      <c r="F53" s="35"/>
      <c r="G53" s="35"/>
      <c r="H53" s="35"/>
    </row>
    <row r="54" customFormat="false" ht="25.5" hidden="false" customHeight="true" outlineLevel="0" collapsed="false">
      <c r="A54" s="35"/>
      <c r="B54" s="35"/>
      <c r="C54" s="35"/>
      <c r="D54" s="35"/>
      <c r="E54" s="35"/>
      <c r="F54" s="35"/>
      <c r="G54" s="35"/>
      <c r="H54" s="35"/>
    </row>
    <row r="55" customFormat="false" ht="25.5" hidden="false" customHeight="true" outlineLevel="0" collapsed="false">
      <c r="A55" s="35"/>
      <c r="B55" s="35"/>
      <c r="C55" s="35"/>
      <c r="D55" s="35"/>
      <c r="E55" s="35"/>
      <c r="F55" s="35"/>
      <c r="G55" s="35"/>
      <c r="H55" s="35"/>
    </row>
    <row r="57" customFormat="false" ht="31.5" hidden="false" customHeight="true" outlineLevel="0" collapsed="false">
      <c r="A57" s="51" t="s">
        <v>187</v>
      </c>
      <c r="B57" s="51"/>
      <c r="C57" s="51"/>
      <c r="D57" s="51"/>
      <c r="E57" s="51"/>
      <c r="F57" s="51"/>
      <c r="G57" s="51"/>
      <c r="H57" s="51"/>
    </row>
    <row r="58" customFormat="false" ht="25.5" hidden="false" customHeight="true" outlineLevel="0" collapsed="false">
      <c r="A58" s="35" t="s">
        <v>188</v>
      </c>
      <c r="B58" s="35"/>
      <c r="C58" s="35"/>
      <c r="D58" s="35"/>
      <c r="E58" s="35"/>
      <c r="F58" s="35"/>
      <c r="G58" s="35"/>
      <c r="H58" s="35"/>
    </row>
    <row r="59" customFormat="false" ht="25.5" hidden="false" customHeight="true" outlineLevel="0" collapsed="false">
      <c r="A59" s="35"/>
      <c r="B59" s="35"/>
      <c r="C59" s="35"/>
      <c r="D59" s="35"/>
      <c r="E59" s="35"/>
      <c r="F59" s="35"/>
      <c r="G59" s="35"/>
      <c r="H59" s="35"/>
    </row>
    <row r="60" customFormat="false" ht="25.5" hidden="false" customHeight="true" outlineLevel="0" collapsed="false">
      <c r="A60" s="35"/>
      <c r="B60" s="35"/>
      <c r="C60" s="35"/>
      <c r="D60" s="35"/>
      <c r="E60" s="35"/>
      <c r="F60" s="35"/>
      <c r="G60" s="35"/>
      <c r="H60" s="35"/>
    </row>
    <row r="62" customFormat="false" ht="31.5" hidden="false" customHeight="true" outlineLevel="0" collapsed="false">
      <c r="A62" s="51" t="s">
        <v>189</v>
      </c>
      <c r="B62" s="51"/>
      <c r="C62" s="51"/>
      <c r="D62" s="51"/>
      <c r="E62" s="51"/>
      <c r="F62" s="51"/>
      <c r="G62" s="51"/>
      <c r="H62" s="51"/>
    </row>
    <row r="63" customFormat="false" ht="27.75" hidden="false" customHeight="true" outlineLevel="0" collapsed="false">
      <c r="A63" s="52" t="s">
        <v>190</v>
      </c>
      <c r="B63" s="52" t="s">
        <v>191</v>
      </c>
      <c r="C63" s="52" t="s">
        <v>12</v>
      </c>
      <c r="D63" s="52" t="s">
        <v>192</v>
      </c>
      <c r="E63" s="52" t="s">
        <v>193</v>
      </c>
      <c r="F63" s="52" t="s">
        <v>194</v>
      </c>
      <c r="G63" s="52" t="s">
        <v>195</v>
      </c>
      <c r="H63" s="52" t="s">
        <v>196</v>
      </c>
    </row>
    <row r="64" customFormat="false" ht="27.75" hidden="false" customHeight="true" outlineLevel="0" collapsed="false">
      <c r="A64" s="10" t="n">
        <v>1</v>
      </c>
      <c r="B64" s="7"/>
      <c r="C64" s="7"/>
      <c r="D64" s="8"/>
      <c r="E64" s="7"/>
      <c r="F64" s="7"/>
      <c r="G64" s="7"/>
      <c r="H64" s="8"/>
    </row>
    <row r="65" customFormat="false" ht="27.75" hidden="false" customHeight="true" outlineLevel="0" collapsed="false">
      <c r="A65" s="10" t="n">
        <v>2</v>
      </c>
      <c r="B65" s="7"/>
      <c r="C65" s="7"/>
      <c r="D65" s="8"/>
      <c r="E65" s="7"/>
      <c r="F65" s="7"/>
      <c r="G65" s="7"/>
      <c r="H65" s="8"/>
    </row>
    <row r="66" customFormat="false" ht="27.75" hidden="false" customHeight="true" outlineLevel="0" collapsed="false">
      <c r="A66" s="10" t="n">
        <v>3</v>
      </c>
      <c r="B66" s="7"/>
      <c r="C66" s="7"/>
      <c r="D66" s="8"/>
      <c r="E66" s="7"/>
      <c r="F66" s="7"/>
      <c r="G66" s="7"/>
      <c r="H66" s="8"/>
    </row>
    <row r="67" customFormat="false" ht="27.75" hidden="false" customHeight="true" outlineLevel="0" collapsed="false">
      <c r="A67" s="10" t="n">
        <v>4</v>
      </c>
      <c r="B67" s="7"/>
      <c r="C67" s="7"/>
      <c r="D67" s="8"/>
      <c r="E67" s="7"/>
      <c r="F67" s="7"/>
      <c r="G67" s="7"/>
      <c r="H67" s="8"/>
    </row>
    <row r="68" customFormat="false" ht="27.75" hidden="false" customHeight="true" outlineLevel="0" collapsed="false">
      <c r="A68" s="10" t="n">
        <v>5</v>
      </c>
      <c r="B68" s="7"/>
      <c r="C68" s="7"/>
      <c r="D68" s="8"/>
      <c r="E68" s="7"/>
      <c r="F68" s="7"/>
      <c r="G68" s="7"/>
      <c r="H68" s="8"/>
    </row>
    <row r="69" customFormat="false" ht="27.75" hidden="false" customHeight="true" outlineLevel="0" collapsed="false">
      <c r="A69" s="10" t="n">
        <v>6</v>
      </c>
      <c r="B69" s="7"/>
      <c r="C69" s="7"/>
      <c r="D69" s="8"/>
      <c r="E69" s="7"/>
      <c r="F69" s="7"/>
      <c r="G69" s="7"/>
      <c r="H69" s="8"/>
    </row>
    <row r="70" customFormat="false" ht="27.75" hidden="false" customHeight="true" outlineLevel="0" collapsed="false">
      <c r="A70" s="10" t="n">
        <v>7</v>
      </c>
      <c r="B70" s="7"/>
      <c r="C70" s="7"/>
      <c r="D70" s="8"/>
      <c r="E70" s="7"/>
      <c r="F70" s="7"/>
      <c r="G70" s="7"/>
      <c r="H70" s="8"/>
    </row>
    <row r="71" customFormat="false" ht="27.75" hidden="false" customHeight="true" outlineLevel="0" collapsed="false">
      <c r="A71" s="10" t="n">
        <v>8</v>
      </c>
      <c r="B71" s="7"/>
      <c r="C71" s="7"/>
      <c r="D71" s="8"/>
      <c r="E71" s="7"/>
      <c r="F71" s="7"/>
      <c r="G71" s="7"/>
      <c r="H71" s="8"/>
    </row>
    <row r="73" customFormat="false" ht="31.5" hidden="false" customHeight="true" outlineLevel="0" collapsed="false">
      <c r="A73" s="51" t="s">
        <v>197</v>
      </c>
      <c r="B73" s="51"/>
      <c r="C73" s="51"/>
      <c r="D73" s="51"/>
      <c r="E73" s="51"/>
      <c r="F73" s="51"/>
      <c r="G73" s="51"/>
      <c r="H73" s="51"/>
    </row>
    <row r="74" customFormat="false" ht="24" hidden="false" customHeight="true" outlineLevel="0" collapsed="false">
      <c r="A74" s="36" t="s">
        <v>198</v>
      </c>
      <c r="B74" s="36"/>
      <c r="C74" s="36" t="s">
        <v>199</v>
      </c>
      <c r="D74" s="36"/>
      <c r="E74" s="36" t="s">
        <v>200</v>
      </c>
      <c r="F74" s="36"/>
      <c r="G74" s="36" t="s">
        <v>201</v>
      </c>
      <c r="H74" s="36"/>
    </row>
    <row r="75" customFormat="false" ht="30" hidden="false" customHeight="true" outlineLevel="0" collapsed="false">
      <c r="A75" s="37" t="s">
        <v>202</v>
      </c>
      <c r="B75" s="37"/>
      <c r="C75" s="38"/>
      <c r="D75" s="38"/>
      <c r="E75" s="38"/>
      <c r="F75" s="38"/>
      <c r="G75" s="39"/>
      <c r="H75" s="39"/>
    </row>
    <row r="76" customFormat="false" ht="30" hidden="false" customHeight="true" outlineLevel="0" collapsed="false">
      <c r="A76" s="37" t="s">
        <v>203</v>
      </c>
      <c r="B76" s="37"/>
      <c r="C76" s="38"/>
      <c r="D76" s="38"/>
      <c r="E76" s="38"/>
      <c r="F76" s="38"/>
      <c r="G76" s="39"/>
      <c r="H76" s="39"/>
    </row>
    <row r="77" customFormat="false" ht="30" hidden="false" customHeight="true" outlineLevel="0" collapsed="false">
      <c r="A77" s="37" t="s">
        <v>204</v>
      </c>
      <c r="B77" s="37"/>
      <c r="C77" s="38"/>
      <c r="D77" s="38"/>
      <c r="E77" s="38"/>
      <c r="F77" s="38"/>
      <c r="G77" s="39"/>
      <c r="H77" s="39"/>
    </row>
    <row r="78" customFormat="false" ht="30" hidden="false" customHeight="true" outlineLevel="0" collapsed="false">
      <c r="A78" s="37" t="s">
        <v>205</v>
      </c>
      <c r="B78" s="37"/>
      <c r="C78" s="38"/>
      <c r="D78" s="38"/>
      <c r="E78" s="38"/>
      <c r="F78" s="38"/>
      <c r="G78" s="39"/>
      <c r="H78"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6:H46"/>
    <mergeCell ref="A49:H49"/>
    <mergeCell ref="A51:H51"/>
    <mergeCell ref="A52:H55"/>
    <mergeCell ref="A57:H57"/>
    <mergeCell ref="A58:H60"/>
    <mergeCell ref="A62:H62"/>
    <mergeCell ref="A73:H73"/>
    <mergeCell ref="A74:B74"/>
    <mergeCell ref="C74:D74"/>
    <mergeCell ref="E74:F74"/>
    <mergeCell ref="G74:H74"/>
    <mergeCell ref="A75:B75"/>
    <mergeCell ref="A76:B76"/>
    <mergeCell ref="A77:B77"/>
    <mergeCell ref="A78:B78"/>
  </mergeCells>
  <conditionalFormatting sqref="E22:E44">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7">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4" type="list">
      <formula1>"0,1,2,N/A"</formula1>
      <formula2>0</formula2>
    </dataValidation>
    <dataValidation allowBlank="true" errorStyle="stop" operator="between" showDropDown="false" showErrorMessage="false" showInputMessage="false" sqref="E64:E71"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38F"/>
    <pageSetUpPr fitToPage="fals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45" t="s">
        <v>469</v>
      </c>
      <c r="B1" s="45"/>
      <c r="C1" s="45"/>
      <c r="D1" s="45"/>
      <c r="E1" s="45"/>
      <c r="F1" s="45"/>
      <c r="G1" s="45"/>
      <c r="H1" s="45"/>
    </row>
    <row r="3" customFormat="false" ht="21.75" hidden="false" customHeight="true" outlineLevel="0" collapsed="false">
      <c r="A3" s="20" t="s">
        <v>68</v>
      </c>
      <c r="B3" s="21" t="s">
        <v>37</v>
      </c>
      <c r="C3" s="21"/>
      <c r="D3" s="21"/>
      <c r="E3" s="21"/>
      <c r="F3" s="21"/>
      <c r="G3" s="21"/>
      <c r="H3" s="21"/>
    </row>
    <row r="4" customFormat="false" ht="21.75" hidden="false" customHeight="true" outlineLevel="0" collapsed="false">
      <c r="A4" s="20" t="s">
        <v>69</v>
      </c>
      <c r="B4" s="21" t="s">
        <v>38</v>
      </c>
      <c r="C4" s="21"/>
      <c r="D4" s="21"/>
      <c r="E4" s="21"/>
      <c r="F4" s="21"/>
      <c r="G4" s="21"/>
      <c r="H4" s="21"/>
    </row>
    <row r="5" customFormat="false" ht="21.75" hidden="false" customHeight="true" outlineLevel="0" collapsed="false">
      <c r="A5" s="20" t="s">
        <v>11</v>
      </c>
      <c r="B5" s="21" t="s">
        <v>39</v>
      </c>
      <c r="C5" s="21"/>
      <c r="D5" s="21"/>
      <c r="E5" s="21"/>
      <c r="F5" s="21"/>
      <c r="G5" s="21"/>
      <c r="H5" s="21"/>
    </row>
    <row r="6" customFormat="false" ht="21.75" hidden="false" customHeight="true" outlineLevel="0" collapsed="false">
      <c r="A6" s="20" t="s">
        <v>12</v>
      </c>
      <c r="B6" s="21" t="s">
        <v>40</v>
      </c>
      <c r="C6" s="21"/>
      <c r="D6" s="21"/>
      <c r="E6" s="21"/>
      <c r="F6" s="21"/>
      <c r="G6" s="21"/>
      <c r="H6" s="21"/>
    </row>
    <row r="7" customFormat="false" ht="21.75" hidden="false" customHeight="true" outlineLevel="0" collapsed="false">
      <c r="A7" s="20" t="s">
        <v>13</v>
      </c>
      <c r="B7" s="21" t="s">
        <v>41</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46" t="s">
        <v>76</v>
      </c>
      <c r="B12" s="46"/>
      <c r="C12" s="46"/>
      <c r="D12" s="46"/>
      <c r="E12" s="46"/>
      <c r="F12" s="46"/>
      <c r="G12" s="46"/>
      <c r="H12" s="46"/>
    </row>
    <row r="13" customFormat="false" ht="39.75" hidden="false" customHeight="true" outlineLevel="0" collapsed="false">
      <c r="A13" s="24" t="s">
        <v>77</v>
      </c>
      <c r="B13" s="25" t="s">
        <v>470</v>
      </c>
      <c r="C13" s="25"/>
      <c r="D13" s="25"/>
      <c r="E13" s="25"/>
      <c r="F13" s="25"/>
      <c r="G13" s="25"/>
      <c r="H13" s="25"/>
    </row>
    <row r="14" customFormat="false" ht="97.5" hidden="false" customHeight="true" outlineLevel="0" collapsed="false">
      <c r="A14" s="24" t="s">
        <v>79</v>
      </c>
      <c r="B14" s="25" t="s">
        <v>471</v>
      </c>
      <c r="C14" s="25"/>
      <c r="D14" s="25"/>
      <c r="E14" s="25"/>
      <c r="F14" s="25"/>
      <c r="G14" s="25"/>
      <c r="H14" s="25"/>
    </row>
    <row r="15" customFormat="false" ht="145.5" hidden="false" customHeight="true" outlineLevel="0" collapsed="false">
      <c r="A15" s="24" t="s">
        <v>81</v>
      </c>
      <c r="B15" s="25" t="s">
        <v>472</v>
      </c>
      <c r="C15" s="25"/>
      <c r="D15" s="25"/>
      <c r="E15" s="25"/>
      <c r="F15" s="25"/>
      <c r="G15" s="25"/>
      <c r="H15" s="25"/>
    </row>
    <row r="17" customFormat="false" ht="31.5" hidden="false" customHeight="true" outlineLevel="0" collapsed="false">
      <c r="A17" s="46" t="s">
        <v>83</v>
      </c>
      <c r="B17" s="46"/>
      <c r="C17" s="46"/>
      <c r="D17" s="46"/>
      <c r="E17" s="46"/>
      <c r="F17" s="46"/>
      <c r="G17" s="46"/>
      <c r="H17" s="46"/>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46" t="s">
        <v>85</v>
      </c>
      <c r="B20" s="46"/>
      <c r="C20" s="46"/>
      <c r="D20" s="46"/>
      <c r="E20" s="46"/>
      <c r="F20" s="46"/>
      <c r="G20" s="46"/>
      <c r="H20" s="46"/>
    </row>
    <row r="21" customFormat="false" ht="36" hidden="false" customHeight="true" outlineLevel="0" collapsed="false">
      <c r="A21" s="47" t="s">
        <v>86</v>
      </c>
      <c r="B21" s="47" t="s">
        <v>87</v>
      </c>
      <c r="C21" s="47" t="s">
        <v>88</v>
      </c>
      <c r="D21" s="47" t="s">
        <v>89</v>
      </c>
      <c r="E21" s="47" t="s">
        <v>90</v>
      </c>
      <c r="F21" s="47" t="s">
        <v>91</v>
      </c>
      <c r="G21" s="47" t="s">
        <v>92</v>
      </c>
      <c r="H21" s="47" t="s">
        <v>93</v>
      </c>
    </row>
    <row r="22" customFormat="false" ht="39.75" hidden="false" customHeight="true" outlineLevel="0" collapsed="false">
      <c r="A22" s="48" t="s">
        <v>473</v>
      </c>
      <c r="B22" s="7" t="s">
        <v>474</v>
      </c>
      <c r="C22" s="29" t="s">
        <v>475</v>
      </c>
      <c r="D22" s="10" t="n">
        <v>4</v>
      </c>
      <c r="E22" s="29"/>
      <c r="F22" s="29" t="str">
        <f aca="false">IF(E22="","",IF(UPPER(E22)="N/A","N/A",D22*E22))</f>
        <v/>
      </c>
      <c r="G22" s="30" t="s">
        <v>476</v>
      </c>
      <c r="H22" s="7"/>
    </row>
    <row r="23" customFormat="false" ht="42" hidden="false" customHeight="true" outlineLevel="0" collapsed="false">
      <c r="A23" s="48" t="s">
        <v>477</v>
      </c>
      <c r="B23" s="7" t="s">
        <v>478</v>
      </c>
      <c r="C23" s="29" t="s">
        <v>479</v>
      </c>
      <c r="D23" s="10" t="n">
        <v>3</v>
      </c>
      <c r="E23" s="29"/>
      <c r="F23" s="29" t="str">
        <f aca="false">IF(E23="","",IF(UPPER(E23)="N/A","N/A",D23*E23))</f>
        <v/>
      </c>
      <c r="G23" s="30" t="s">
        <v>480</v>
      </c>
      <c r="H23" s="7"/>
    </row>
    <row r="24" customFormat="false" ht="39.75" hidden="false" customHeight="true" outlineLevel="0" collapsed="false">
      <c r="A24" s="48" t="s">
        <v>481</v>
      </c>
      <c r="B24" s="7" t="s">
        <v>482</v>
      </c>
      <c r="C24" s="29" t="s">
        <v>483</v>
      </c>
      <c r="D24" s="10" t="n">
        <v>4</v>
      </c>
      <c r="E24" s="29"/>
      <c r="F24" s="29" t="str">
        <f aca="false">IF(E24="","",IF(UPPER(E24)="N/A","N/A",D24*E24))</f>
        <v/>
      </c>
      <c r="G24" s="30" t="s">
        <v>484</v>
      </c>
      <c r="H24" s="7"/>
    </row>
    <row r="25" customFormat="false" ht="39.75" hidden="false" customHeight="true" outlineLevel="0" collapsed="false">
      <c r="A25" s="48" t="s">
        <v>485</v>
      </c>
      <c r="B25" s="7" t="s">
        <v>486</v>
      </c>
      <c r="C25" s="29" t="s">
        <v>487</v>
      </c>
      <c r="D25" s="10" t="n">
        <v>5</v>
      </c>
      <c r="E25" s="29"/>
      <c r="F25" s="29" t="str">
        <f aca="false">IF(E25="","",IF(UPPER(E25)="N/A","N/A",D25*E25))</f>
        <v/>
      </c>
      <c r="G25" s="30" t="s">
        <v>488</v>
      </c>
      <c r="H25" s="7"/>
    </row>
    <row r="26" customFormat="false" ht="42" hidden="false" customHeight="true" outlineLevel="0" collapsed="false">
      <c r="A26" s="48" t="s">
        <v>489</v>
      </c>
      <c r="B26" s="7" t="s">
        <v>490</v>
      </c>
      <c r="C26" s="29" t="s">
        <v>491</v>
      </c>
      <c r="D26" s="10" t="n">
        <v>5</v>
      </c>
      <c r="E26" s="29"/>
      <c r="F26" s="29" t="str">
        <f aca="false">IF(E26="","",IF(UPPER(E26)="N/A","N/A",D26*E26))</f>
        <v/>
      </c>
      <c r="G26" s="30" t="s">
        <v>492</v>
      </c>
      <c r="H26" s="7"/>
    </row>
    <row r="27" customFormat="false" ht="42" hidden="false" customHeight="true" outlineLevel="0" collapsed="false">
      <c r="A27" s="48" t="s">
        <v>493</v>
      </c>
      <c r="B27" s="7" t="s">
        <v>494</v>
      </c>
      <c r="C27" s="29" t="s">
        <v>495</v>
      </c>
      <c r="D27" s="10" t="n">
        <v>4</v>
      </c>
      <c r="E27" s="29"/>
      <c r="F27" s="29" t="str">
        <f aca="false">IF(E27="","",IF(UPPER(E27)="N/A","N/A",D27*E27))</f>
        <v/>
      </c>
      <c r="G27" s="30" t="s">
        <v>496</v>
      </c>
      <c r="H27" s="7"/>
    </row>
    <row r="28" customFormat="false" ht="39.75" hidden="false" customHeight="true" outlineLevel="0" collapsed="false">
      <c r="A28" s="48" t="s">
        <v>497</v>
      </c>
      <c r="B28" s="7" t="s">
        <v>498</v>
      </c>
      <c r="C28" s="29" t="s">
        <v>499</v>
      </c>
      <c r="D28" s="10" t="n">
        <v>3</v>
      </c>
      <c r="E28" s="29"/>
      <c r="F28" s="29" t="str">
        <f aca="false">IF(E28="","",IF(UPPER(E28)="N/A","N/A",D28*E28))</f>
        <v/>
      </c>
      <c r="G28" s="30" t="s">
        <v>500</v>
      </c>
      <c r="H28" s="7"/>
    </row>
    <row r="29" customFormat="false" ht="39.75" hidden="false" customHeight="true" outlineLevel="0" collapsed="false">
      <c r="A29" s="48" t="s">
        <v>501</v>
      </c>
      <c r="B29" s="7" t="s">
        <v>502</v>
      </c>
      <c r="C29" s="29" t="s">
        <v>503</v>
      </c>
      <c r="D29" s="10" t="n">
        <v>3</v>
      </c>
      <c r="E29" s="29"/>
      <c r="F29" s="29" t="str">
        <f aca="false">IF(E29="","",IF(UPPER(E29)="N/A","N/A",D29*E29))</f>
        <v/>
      </c>
      <c r="G29" s="30" t="s">
        <v>504</v>
      </c>
      <c r="H29" s="7"/>
    </row>
    <row r="30" customFormat="false" ht="39.75" hidden="false" customHeight="true" outlineLevel="0" collapsed="false">
      <c r="A30" s="48" t="s">
        <v>505</v>
      </c>
      <c r="B30" s="7" t="s">
        <v>506</v>
      </c>
      <c r="C30" s="29" t="s">
        <v>507</v>
      </c>
      <c r="D30" s="10" t="n">
        <v>3</v>
      </c>
      <c r="E30" s="29"/>
      <c r="F30" s="29" t="str">
        <f aca="false">IF(E30="","",IF(UPPER(E30)="N/A","N/A",D30*E30))</f>
        <v/>
      </c>
      <c r="G30" s="30" t="s">
        <v>508</v>
      </c>
      <c r="H30" s="7"/>
    </row>
    <row r="31" customFormat="false" ht="39.75" hidden="false" customHeight="true" outlineLevel="0" collapsed="false">
      <c r="A31" s="48" t="s">
        <v>509</v>
      </c>
      <c r="B31" s="7" t="s">
        <v>510</v>
      </c>
      <c r="C31" s="29" t="s">
        <v>511</v>
      </c>
      <c r="D31" s="10" t="n">
        <v>5</v>
      </c>
      <c r="E31" s="29"/>
      <c r="F31" s="29" t="str">
        <f aca="false">IF(E31="","",IF(UPPER(E31)="N/A","N/A",D31*E31))</f>
        <v/>
      </c>
      <c r="G31" s="30" t="s">
        <v>512</v>
      </c>
      <c r="H31" s="7"/>
    </row>
    <row r="32" customFormat="false" ht="39.75" hidden="false" customHeight="true" outlineLevel="0" collapsed="false">
      <c r="A32" s="48" t="s">
        <v>513</v>
      </c>
      <c r="B32" s="7" t="s">
        <v>514</v>
      </c>
      <c r="C32" s="29" t="s">
        <v>515</v>
      </c>
      <c r="D32" s="10" t="n">
        <v>5</v>
      </c>
      <c r="E32" s="29"/>
      <c r="F32" s="29" t="str">
        <f aca="false">IF(E32="","",IF(UPPER(E32)="N/A","N/A",D32*E32))</f>
        <v/>
      </c>
      <c r="G32" s="30" t="s">
        <v>516</v>
      </c>
      <c r="H32" s="7"/>
    </row>
    <row r="33" customFormat="false" ht="42" hidden="false" customHeight="true" outlineLevel="0" collapsed="false">
      <c r="A33" s="48" t="s">
        <v>517</v>
      </c>
      <c r="B33" s="7" t="s">
        <v>518</v>
      </c>
      <c r="C33" s="29" t="s">
        <v>483</v>
      </c>
      <c r="D33" s="10" t="n">
        <v>3</v>
      </c>
      <c r="E33" s="29"/>
      <c r="F33" s="29" t="str">
        <f aca="false">IF(E33="","",IF(UPPER(E33)="N/A","N/A",D33*E33))</f>
        <v/>
      </c>
      <c r="G33" s="30" t="s">
        <v>519</v>
      </c>
      <c r="H33" s="7"/>
    </row>
    <row r="34" customFormat="false" ht="39.75" hidden="false" customHeight="true" outlineLevel="0" collapsed="false">
      <c r="A34" s="48" t="s">
        <v>520</v>
      </c>
      <c r="B34" s="7" t="s">
        <v>521</v>
      </c>
      <c r="C34" s="29" t="s">
        <v>522</v>
      </c>
      <c r="D34" s="10" t="n">
        <v>4</v>
      </c>
      <c r="E34" s="29"/>
      <c r="F34" s="29" t="str">
        <f aca="false">IF(E34="","",IF(UPPER(E34)="N/A","N/A",D34*E34))</f>
        <v/>
      </c>
      <c r="G34" s="30" t="s">
        <v>523</v>
      </c>
      <c r="H34" s="7"/>
    </row>
    <row r="35" customFormat="false" ht="39.75" hidden="false" customHeight="true" outlineLevel="0" collapsed="false">
      <c r="A35" s="48" t="s">
        <v>524</v>
      </c>
      <c r="B35" s="7" t="s">
        <v>525</v>
      </c>
      <c r="C35" s="29" t="s">
        <v>526</v>
      </c>
      <c r="D35" s="10" t="n">
        <v>5</v>
      </c>
      <c r="E35" s="29"/>
      <c r="F35" s="29" t="str">
        <f aca="false">IF(E35="","",IF(UPPER(E35)="N/A","N/A",D35*E35))</f>
        <v/>
      </c>
      <c r="G35" s="30" t="s">
        <v>527</v>
      </c>
      <c r="H35" s="7"/>
    </row>
    <row r="36" customFormat="false" ht="39.75" hidden="false" customHeight="true" outlineLevel="0" collapsed="false">
      <c r="A36" s="48" t="s">
        <v>528</v>
      </c>
      <c r="B36" s="7" t="s">
        <v>529</v>
      </c>
      <c r="C36" s="29" t="s">
        <v>530</v>
      </c>
      <c r="D36" s="10" t="n">
        <v>4</v>
      </c>
      <c r="E36" s="29"/>
      <c r="F36" s="29" t="str">
        <f aca="false">IF(E36="","",IF(UPPER(E36)="N/A","N/A",D36*E36))</f>
        <v/>
      </c>
      <c r="G36" s="30" t="s">
        <v>531</v>
      </c>
      <c r="H36" s="7"/>
    </row>
    <row r="37" customFormat="false" ht="39.75" hidden="false" customHeight="true" outlineLevel="0" collapsed="false">
      <c r="A37" s="48" t="s">
        <v>532</v>
      </c>
      <c r="B37" s="7" t="s">
        <v>533</v>
      </c>
      <c r="C37" s="29" t="s">
        <v>534</v>
      </c>
      <c r="D37" s="10" t="n">
        <v>3</v>
      </c>
      <c r="E37" s="29"/>
      <c r="F37" s="29" t="str">
        <f aca="false">IF(E37="","",IF(UPPER(E37)="N/A","N/A",D37*E37))</f>
        <v/>
      </c>
      <c r="G37" s="30" t="s">
        <v>535</v>
      </c>
      <c r="H37" s="7"/>
    </row>
    <row r="38" customFormat="false" ht="39.75" hidden="false" customHeight="true" outlineLevel="0" collapsed="false">
      <c r="A38" s="48" t="s">
        <v>536</v>
      </c>
      <c r="B38" s="7" t="s">
        <v>537</v>
      </c>
      <c r="C38" s="29" t="s">
        <v>538</v>
      </c>
      <c r="D38" s="10" t="n">
        <v>1</v>
      </c>
      <c r="E38" s="29"/>
      <c r="F38" s="29" t="str">
        <f aca="false">IF(E38="","",IF(UPPER(E38)="N/A","N/A",D38*E38))</f>
        <v/>
      </c>
      <c r="G38" s="30" t="s">
        <v>539</v>
      </c>
      <c r="H38" s="7"/>
    </row>
    <row r="39" customFormat="false" ht="42" hidden="false" customHeight="true" outlineLevel="0" collapsed="false">
      <c r="A39" s="48" t="s">
        <v>540</v>
      </c>
      <c r="B39" s="7" t="s">
        <v>541</v>
      </c>
      <c r="C39" s="29" t="s">
        <v>542</v>
      </c>
      <c r="D39" s="10" t="n">
        <v>4</v>
      </c>
      <c r="E39" s="29"/>
      <c r="F39" s="29" t="str">
        <f aca="false">IF(E39="","",IF(UPPER(E39)="N/A","N/A",D39*E39))</f>
        <v/>
      </c>
      <c r="G39" s="30" t="s">
        <v>543</v>
      </c>
      <c r="H39" s="7"/>
    </row>
    <row r="40" customFormat="false" ht="42" hidden="false" customHeight="true" outlineLevel="0" collapsed="false">
      <c r="A40" s="48" t="s">
        <v>544</v>
      </c>
      <c r="B40" s="7" t="s">
        <v>545</v>
      </c>
      <c r="C40" s="29" t="s">
        <v>546</v>
      </c>
      <c r="D40" s="10" t="n">
        <v>3</v>
      </c>
      <c r="E40" s="29"/>
      <c r="F40" s="29" t="str">
        <f aca="false">IF(E40="","",IF(UPPER(E40)="N/A","N/A",D40*E40))</f>
        <v/>
      </c>
      <c r="G40" s="30" t="s">
        <v>547</v>
      </c>
      <c r="H40" s="7"/>
    </row>
    <row r="41" customFormat="false" ht="39.75" hidden="false" customHeight="true" outlineLevel="0" collapsed="false">
      <c r="A41" s="48" t="s">
        <v>548</v>
      </c>
      <c r="B41" s="7" t="s">
        <v>549</v>
      </c>
      <c r="C41" s="29" t="s">
        <v>550</v>
      </c>
      <c r="D41" s="10" t="n">
        <v>2</v>
      </c>
      <c r="E41" s="29"/>
      <c r="F41" s="29" t="str">
        <f aca="false">IF(E41="","",IF(UPPER(E41)="N/A","N/A",D41*E41))</f>
        <v/>
      </c>
      <c r="G41" s="30" t="s">
        <v>551</v>
      </c>
      <c r="H41" s="7"/>
    </row>
    <row r="42" customFormat="false" ht="42" hidden="false" customHeight="true" outlineLevel="0" collapsed="false">
      <c r="A42" s="48" t="s">
        <v>552</v>
      </c>
      <c r="B42" s="7" t="s">
        <v>553</v>
      </c>
      <c r="C42" s="29" t="s">
        <v>554</v>
      </c>
      <c r="D42" s="10" t="n">
        <v>2</v>
      </c>
      <c r="E42" s="29"/>
      <c r="F42" s="29" t="str">
        <f aca="false">IF(E42="","",IF(UPPER(E42)="N/A","N/A",D42*E42))</f>
        <v/>
      </c>
      <c r="G42" s="30" t="s">
        <v>555</v>
      </c>
      <c r="H42" s="7"/>
    </row>
    <row r="43" customFormat="false" ht="39.75" hidden="false" customHeight="true" outlineLevel="0" collapsed="false">
      <c r="A43" s="48" t="s">
        <v>556</v>
      </c>
      <c r="B43" s="7" t="s">
        <v>557</v>
      </c>
      <c r="C43" s="29" t="s">
        <v>511</v>
      </c>
      <c r="D43" s="10" t="n">
        <v>3</v>
      </c>
      <c r="E43" s="29"/>
      <c r="F43" s="29" t="str">
        <f aca="false">IF(E43="","",IF(UPPER(E43)="N/A","N/A",D43*E43))</f>
        <v/>
      </c>
      <c r="G43" s="30" t="s">
        <v>558</v>
      </c>
      <c r="H43" s="7"/>
    </row>
    <row r="45" customFormat="false" ht="31.5" hidden="false" customHeight="true" outlineLevel="0" collapsed="false">
      <c r="A45" s="46" t="s">
        <v>181</v>
      </c>
      <c r="B45" s="46"/>
      <c r="C45" s="46"/>
      <c r="D45" s="46"/>
      <c r="E45" s="46"/>
      <c r="F45" s="46"/>
      <c r="G45" s="46"/>
      <c r="H45" s="46"/>
    </row>
    <row r="46" customFormat="false" ht="36" hidden="false" customHeight="true" outlineLevel="0" collapsed="false">
      <c r="A46" s="20" t="s">
        <v>182</v>
      </c>
      <c r="B46" s="31" t="n">
        <f aca="false">SUMPRODUCT(IFERROR((F22:F43+0),0))</f>
        <v>0</v>
      </c>
      <c r="C46" s="20" t="s">
        <v>183</v>
      </c>
      <c r="D46" s="31" t="n">
        <f aca="false">SUMPRODUCT((F22:F43&lt;&gt;"N/A")*(F22:F43&lt;&gt;"")*(D22:D43*2))</f>
        <v>0</v>
      </c>
      <c r="E46" s="20" t="s">
        <v>15</v>
      </c>
      <c r="F46" s="49" t="str">
        <f aca="false">IFERROR(B46/D46,"")</f>
        <v/>
      </c>
      <c r="G46" s="20" t="s">
        <v>16</v>
      </c>
      <c r="H46" s="33" t="str">
        <f aca="false">IFERROR(IF(F46="","",IF(F46&gt;=0.95,"Compliant",IF(F46&gt;=0.85,"Substantially compliant",IF(F46&gt;=0.7,"Partially compliant","Non-compliant")))),"")</f>
        <v/>
      </c>
    </row>
    <row r="48" customFormat="false" ht="15" hidden="false" customHeight="false" outlineLevel="0" collapsed="false">
      <c r="A48" s="34" t="s">
        <v>184</v>
      </c>
      <c r="B48" s="34"/>
      <c r="C48" s="34"/>
      <c r="D48" s="34"/>
      <c r="E48" s="34"/>
      <c r="F48" s="34"/>
      <c r="G48" s="34"/>
      <c r="H48" s="34"/>
    </row>
    <row r="50" customFormat="false" ht="31.5" hidden="false" customHeight="true" outlineLevel="0" collapsed="false">
      <c r="A50" s="46" t="s">
        <v>185</v>
      </c>
      <c r="B50" s="46"/>
      <c r="C50" s="46"/>
      <c r="D50" s="46"/>
      <c r="E50" s="46"/>
      <c r="F50" s="46"/>
      <c r="G50" s="46"/>
      <c r="H50" s="46"/>
    </row>
    <row r="51" customFormat="false" ht="25.5" hidden="false" customHeight="true" outlineLevel="0" collapsed="false">
      <c r="A51" s="35" t="s">
        <v>186</v>
      </c>
      <c r="B51" s="35"/>
      <c r="C51" s="35"/>
      <c r="D51" s="35"/>
      <c r="E51" s="35"/>
      <c r="F51" s="35"/>
      <c r="G51" s="35"/>
      <c r="H51" s="35"/>
    </row>
    <row r="52" customFormat="false" ht="25.5" hidden="false" customHeight="true" outlineLevel="0" collapsed="false">
      <c r="A52" s="35"/>
      <c r="B52" s="35"/>
      <c r="C52" s="35"/>
      <c r="D52" s="35"/>
      <c r="E52" s="35"/>
      <c r="F52" s="35"/>
      <c r="G52" s="35"/>
      <c r="H52" s="35"/>
    </row>
    <row r="53" customFormat="false" ht="25.5" hidden="false" customHeight="true" outlineLevel="0" collapsed="false">
      <c r="A53" s="35"/>
      <c r="B53" s="35"/>
      <c r="C53" s="35"/>
      <c r="D53" s="35"/>
      <c r="E53" s="35"/>
      <c r="F53" s="35"/>
      <c r="G53" s="35"/>
      <c r="H53" s="35"/>
    </row>
    <row r="54" customFormat="false" ht="25.5" hidden="false" customHeight="true" outlineLevel="0" collapsed="false">
      <c r="A54" s="35"/>
      <c r="B54" s="35"/>
      <c r="C54" s="35"/>
      <c r="D54" s="35"/>
      <c r="E54" s="35"/>
      <c r="F54" s="35"/>
      <c r="G54" s="35"/>
      <c r="H54" s="35"/>
    </row>
    <row r="56" customFormat="false" ht="31.5" hidden="false" customHeight="true" outlineLevel="0" collapsed="false">
      <c r="A56" s="46" t="s">
        <v>187</v>
      </c>
      <c r="B56" s="46"/>
      <c r="C56" s="46"/>
      <c r="D56" s="46"/>
      <c r="E56" s="46"/>
      <c r="F56" s="46"/>
      <c r="G56" s="46"/>
      <c r="H56" s="46"/>
    </row>
    <row r="57" customFormat="false" ht="25.5" hidden="false" customHeight="true" outlineLevel="0" collapsed="false">
      <c r="A57" s="35" t="s">
        <v>188</v>
      </c>
      <c r="B57" s="35"/>
      <c r="C57" s="35"/>
      <c r="D57" s="35"/>
      <c r="E57" s="35"/>
      <c r="F57" s="35"/>
      <c r="G57" s="35"/>
      <c r="H57" s="35"/>
    </row>
    <row r="58" customFormat="false" ht="25.5" hidden="false" customHeight="true" outlineLevel="0" collapsed="false">
      <c r="A58" s="35"/>
      <c r="B58" s="35"/>
      <c r="C58" s="35"/>
      <c r="D58" s="35"/>
      <c r="E58" s="35"/>
      <c r="F58" s="35"/>
      <c r="G58" s="35"/>
      <c r="H58" s="35"/>
    </row>
    <row r="59" customFormat="false" ht="25.5" hidden="false" customHeight="true" outlineLevel="0" collapsed="false">
      <c r="A59" s="35"/>
      <c r="B59" s="35"/>
      <c r="C59" s="35"/>
      <c r="D59" s="35"/>
      <c r="E59" s="35"/>
      <c r="F59" s="35"/>
      <c r="G59" s="35"/>
      <c r="H59" s="35"/>
    </row>
    <row r="61" customFormat="false" ht="31.5" hidden="false" customHeight="true" outlineLevel="0" collapsed="false">
      <c r="A61" s="46" t="s">
        <v>189</v>
      </c>
      <c r="B61" s="46"/>
      <c r="C61" s="46"/>
      <c r="D61" s="46"/>
      <c r="E61" s="46"/>
      <c r="F61" s="46"/>
      <c r="G61" s="46"/>
      <c r="H61" s="46"/>
    </row>
    <row r="62" customFormat="false" ht="27.75" hidden="false" customHeight="true" outlineLevel="0" collapsed="false">
      <c r="A62" s="47" t="s">
        <v>190</v>
      </c>
      <c r="B62" s="47" t="s">
        <v>191</v>
      </c>
      <c r="C62" s="47" t="s">
        <v>12</v>
      </c>
      <c r="D62" s="47" t="s">
        <v>192</v>
      </c>
      <c r="E62" s="47" t="s">
        <v>193</v>
      </c>
      <c r="F62" s="47" t="s">
        <v>194</v>
      </c>
      <c r="G62" s="47" t="s">
        <v>195</v>
      </c>
      <c r="H62" s="47" t="s">
        <v>196</v>
      </c>
    </row>
    <row r="63" customFormat="false" ht="27.75" hidden="false" customHeight="true" outlineLevel="0" collapsed="false">
      <c r="A63" s="10" t="n">
        <v>1</v>
      </c>
      <c r="B63" s="7"/>
      <c r="C63" s="7"/>
      <c r="D63" s="8"/>
      <c r="E63" s="7"/>
      <c r="F63" s="7"/>
      <c r="G63" s="7"/>
      <c r="H63" s="8"/>
    </row>
    <row r="64" customFormat="false" ht="27.75" hidden="false" customHeight="true" outlineLevel="0" collapsed="false">
      <c r="A64" s="10" t="n">
        <v>2</v>
      </c>
      <c r="B64" s="7"/>
      <c r="C64" s="7"/>
      <c r="D64" s="8"/>
      <c r="E64" s="7"/>
      <c r="F64" s="7"/>
      <c r="G64" s="7"/>
      <c r="H64" s="8"/>
    </row>
    <row r="65" customFormat="false" ht="27.75" hidden="false" customHeight="true" outlineLevel="0" collapsed="false">
      <c r="A65" s="10" t="n">
        <v>3</v>
      </c>
      <c r="B65" s="7"/>
      <c r="C65" s="7"/>
      <c r="D65" s="8"/>
      <c r="E65" s="7"/>
      <c r="F65" s="7"/>
      <c r="G65" s="7"/>
      <c r="H65" s="8"/>
    </row>
    <row r="66" customFormat="false" ht="27.75" hidden="false" customHeight="true" outlineLevel="0" collapsed="false">
      <c r="A66" s="10" t="n">
        <v>4</v>
      </c>
      <c r="B66" s="7"/>
      <c r="C66" s="7"/>
      <c r="D66" s="8"/>
      <c r="E66" s="7"/>
      <c r="F66" s="7"/>
      <c r="G66" s="7"/>
      <c r="H66" s="8"/>
    </row>
    <row r="67" customFormat="false" ht="27.75" hidden="false" customHeight="true" outlineLevel="0" collapsed="false">
      <c r="A67" s="10" t="n">
        <v>5</v>
      </c>
      <c r="B67" s="7"/>
      <c r="C67" s="7"/>
      <c r="D67" s="8"/>
      <c r="E67" s="7"/>
      <c r="F67" s="7"/>
      <c r="G67" s="7"/>
      <c r="H67" s="8"/>
    </row>
    <row r="68" customFormat="false" ht="27.75" hidden="false" customHeight="true" outlineLevel="0" collapsed="false">
      <c r="A68" s="10" t="n">
        <v>6</v>
      </c>
      <c r="B68" s="7"/>
      <c r="C68" s="7"/>
      <c r="D68" s="8"/>
      <c r="E68" s="7"/>
      <c r="F68" s="7"/>
      <c r="G68" s="7"/>
      <c r="H68" s="8"/>
    </row>
    <row r="69" customFormat="false" ht="27.75" hidden="false" customHeight="true" outlineLevel="0" collapsed="false">
      <c r="A69" s="10" t="n">
        <v>7</v>
      </c>
      <c r="B69" s="7"/>
      <c r="C69" s="7"/>
      <c r="D69" s="8"/>
      <c r="E69" s="7"/>
      <c r="F69" s="7"/>
      <c r="G69" s="7"/>
      <c r="H69" s="8"/>
    </row>
    <row r="70" customFormat="false" ht="27.75" hidden="false" customHeight="true" outlineLevel="0" collapsed="false">
      <c r="A70" s="10" t="n">
        <v>8</v>
      </c>
      <c r="B70" s="7"/>
      <c r="C70" s="7"/>
      <c r="D70" s="8"/>
      <c r="E70" s="7"/>
      <c r="F70" s="7"/>
      <c r="G70" s="7"/>
      <c r="H70" s="8"/>
    </row>
    <row r="72" customFormat="false" ht="31.5" hidden="false" customHeight="true" outlineLevel="0" collapsed="false">
      <c r="A72" s="46" t="s">
        <v>197</v>
      </c>
      <c r="B72" s="46"/>
      <c r="C72" s="46"/>
      <c r="D72" s="46"/>
      <c r="E72" s="46"/>
      <c r="F72" s="46"/>
      <c r="G72" s="46"/>
      <c r="H72" s="46"/>
    </row>
    <row r="73" customFormat="false" ht="24" hidden="false" customHeight="true" outlineLevel="0" collapsed="false">
      <c r="A73" s="36" t="s">
        <v>198</v>
      </c>
      <c r="B73" s="36"/>
      <c r="C73" s="36" t="s">
        <v>199</v>
      </c>
      <c r="D73" s="36"/>
      <c r="E73" s="36" t="s">
        <v>200</v>
      </c>
      <c r="F73" s="36"/>
      <c r="G73" s="36" t="s">
        <v>201</v>
      </c>
      <c r="H73" s="36"/>
    </row>
    <row r="74" customFormat="false" ht="30" hidden="false" customHeight="true" outlineLevel="0" collapsed="false">
      <c r="A74" s="37" t="s">
        <v>202</v>
      </c>
      <c r="B74" s="37"/>
      <c r="C74" s="38"/>
      <c r="D74" s="38"/>
      <c r="E74" s="38"/>
      <c r="F74" s="38"/>
      <c r="G74" s="39"/>
      <c r="H74" s="39"/>
    </row>
    <row r="75" customFormat="false" ht="30" hidden="false" customHeight="true" outlineLevel="0" collapsed="false">
      <c r="A75" s="37" t="s">
        <v>203</v>
      </c>
      <c r="B75" s="37"/>
      <c r="C75" s="38"/>
      <c r="D75" s="38"/>
      <c r="E75" s="38"/>
      <c r="F75" s="38"/>
      <c r="G75" s="39"/>
      <c r="H75" s="39"/>
    </row>
    <row r="76" customFormat="false" ht="30" hidden="false" customHeight="true" outlineLevel="0" collapsed="false">
      <c r="A76" s="37" t="s">
        <v>204</v>
      </c>
      <c r="B76" s="37"/>
      <c r="C76" s="38"/>
      <c r="D76" s="38"/>
      <c r="E76" s="38"/>
      <c r="F76" s="38"/>
      <c r="G76" s="39"/>
      <c r="H76" s="39"/>
    </row>
    <row r="77" customFormat="false" ht="30" hidden="false" customHeight="true" outlineLevel="0" collapsed="false">
      <c r="A77" s="37" t="s">
        <v>205</v>
      </c>
      <c r="B77" s="37"/>
      <c r="C77" s="38"/>
      <c r="D77" s="38"/>
      <c r="E77" s="38"/>
      <c r="F77" s="38"/>
      <c r="G77" s="39"/>
      <c r="H77"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5:H45"/>
    <mergeCell ref="A48:H48"/>
    <mergeCell ref="A50:H50"/>
    <mergeCell ref="A51:H54"/>
    <mergeCell ref="A56:H56"/>
    <mergeCell ref="A57:H59"/>
    <mergeCell ref="A61:H61"/>
    <mergeCell ref="A72:H72"/>
    <mergeCell ref="A73:B73"/>
    <mergeCell ref="C73:D73"/>
    <mergeCell ref="E73:F73"/>
    <mergeCell ref="G73:H73"/>
    <mergeCell ref="A74:B74"/>
    <mergeCell ref="A75:B75"/>
    <mergeCell ref="A76:B76"/>
    <mergeCell ref="A77:B77"/>
  </mergeCells>
  <conditionalFormatting sqref="E22:E43">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6">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3" type="list">
      <formula1>"0,1,2,N/A"</formula1>
      <formula2>0</formula2>
    </dataValidation>
    <dataValidation allowBlank="true" errorStyle="stop" operator="between" showDropDown="false" showErrorMessage="false" showInputMessage="false" sqref="E63:E70"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55" t="s">
        <v>559</v>
      </c>
      <c r="B1" s="55"/>
      <c r="C1" s="55"/>
      <c r="D1" s="55"/>
      <c r="E1" s="55"/>
      <c r="F1" s="55"/>
      <c r="G1" s="55"/>
      <c r="H1" s="55"/>
    </row>
    <row r="3" customFormat="false" ht="21.75" hidden="false" customHeight="true" outlineLevel="0" collapsed="false">
      <c r="A3" s="20" t="s">
        <v>68</v>
      </c>
      <c r="B3" s="21" t="s">
        <v>42</v>
      </c>
      <c r="C3" s="21"/>
      <c r="D3" s="21"/>
      <c r="E3" s="21"/>
      <c r="F3" s="21"/>
      <c r="G3" s="21"/>
      <c r="H3" s="21"/>
    </row>
    <row r="4" customFormat="false" ht="21.75" hidden="false" customHeight="true" outlineLevel="0" collapsed="false">
      <c r="A4" s="20" t="s">
        <v>69</v>
      </c>
      <c r="B4" s="21" t="s">
        <v>43</v>
      </c>
      <c r="C4" s="21"/>
      <c r="D4" s="21"/>
      <c r="E4" s="21"/>
      <c r="F4" s="21"/>
      <c r="G4" s="21"/>
      <c r="H4" s="21"/>
    </row>
    <row r="5" customFormat="false" ht="21.75" hidden="false" customHeight="true" outlineLevel="0" collapsed="false">
      <c r="A5" s="20" t="s">
        <v>11</v>
      </c>
      <c r="B5" s="21" t="s">
        <v>44</v>
      </c>
      <c r="C5" s="21"/>
      <c r="D5" s="21"/>
      <c r="E5" s="21"/>
      <c r="F5" s="21"/>
      <c r="G5" s="21"/>
      <c r="H5" s="21"/>
    </row>
    <row r="6" customFormat="false" ht="21.75" hidden="false" customHeight="true" outlineLevel="0" collapsed="false">
      <c r="A6" s="20" t="s">
        <v>12</v>
      </c>
      <c r="B6" s="21" t="s">
        <v>45</v>
      </c>
      <c r="C6" s="21"/>
      <c r="D6" s="21"/>
      <c r="E6" s="21"/>
      <c r="F6" s="21"/>
      <c r="G6" s="21"/>
      <c r="H6" s="21"/>
    </row>
    <row r="7" customFormat="false" ht="21.75" hidden="false" customHeight="true" outlineLevel="0" collapsed="false">
      <c r="A7" s="20" t="s">
        <v>13</v>
      </c>
      <c r="B7" s="21" t="s">
        <v>46</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56" t="s">
        <v>76</v>
      </c>
      <c r="B12" s="56"/>
      <c r="C12" s="56"/>
      <c r="D12" s="56"/>
      <c r="E12" s="56"/>
      <c r="F12" s="56"/>
      <c r="G12" s="56"/>
      <c r="H12" s="56"/>
    </row>
    <row r="13" customFormat="false" ht="39.75" hidden="false" customHeight="true" outlineLevel="0" collapsed="false">
      <c r="A13" s="24" t="s">
        <v>77</v>
      </c>
      <c r="B13" s="25" t="s">
        <v>560</v>
      </c>
      <c r="C13" s="25"/>
      <c r="D13" s="25"/>
      <c r="E13" s="25"/>
      <c r="F13" s="25"/>
      <c r="G13" s="25"/>
      <c r="H13" s="25"/>
    </row>
    <row r="14" customFormat="false" ht="97.5" hidden="false" customHeight="true" outlineLevel="0" collapsed="false">
      <c r="A14" s="24" t="s">
        <v>79</v>
      </c>
      <c r="B14" s="25" t="s">
        <v>561</v>
      </c>
      <c r="C14" s="25"/>
      <c r="D14" s="25"/>
      <c r="E14" s="25"/>
      <c r="F14" s="25"/>
      <c r="G14" s="25"/>
      <c r="H14" s="25"/>
    </row>
    <row r="15" customFormat="false" ht="145.5" hidden="false" customHeight="true" outlineLevel="0" collapsed="false">
      <c r="A15" s="24" t="s">
        <v>81</v>
      </c>
      <c r="B15" s="25" t="s">
        <v>562</v>
      </c>
      <c r="C15" s="25"/>
      <c r="D15" s="25"/>
      <c r="E15" s="25"/>
      <c r="F15" s="25"/>
      <c r="G15" s="25"/>
      <c r="H15" s="25"/>
    </row>
    <row r="17" customFormat="false" ht="31.5" hidden="false" customHeight="true" outlineLevel="0" collapsed="false">
      <c r="A17" s="56" t="s">
        <v>83</v>
      </c>
      <c r="B17" s="56"/>
      <c r="C17" s="56"/>
      <c r="D17" s="56"/>
      <c r="E17" s="56"/>
      <c r="F17" s="56"/>
      <c r="G17" s="56"/>
      <c r="H17" s="56"/>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56" t="s">
        <v>85</v>
      </c>
      <c r="B20" s="56"/>
      <c r="C20" s="56"/>
      <c r="D20" s="56"/>
      <c r="E20" s="56"/>
      <c r="F20" s="56"/>
      <c r="G20" s="56"/>
      <c r="H20" s="56"/>
    </row>
    <row r="21" customFormat="false" ht="36" hidden="false" customHeight="true" outlineLevel="0" collapsed="false">
      <c r="A21" s="57" t="s">
        <v>86</v>
      </c>
      <c r="B21" s="57" t="s">
        <v>87</v>
      </c>
      <c r="C21" s="57" t="s">
        <v>88</v>
      </c>
      <c r="D21" s="57" t="s">
        <v>89</v>
      </c>
      <c r="E21" s="57" t="s">
        <v>90</v>
      </c>
      <c r="F21" s="57" t="s">
        <v>91</v>
      </c>
      <c r="G21" s="57" t="s">
        <v>92</v>
      </c>
      <c r="H21" s="57" t="s">
        <v>93</v>
      </c>
    </row>
    <row r="22" customFormat="false" ht="42" hidden="false" customHeight="true" outlineLevel="0" collapsed="false">
      <c r="A22" s="58" t="s">
        <v>563</v>
      </c>
      <c r="B22" s="7" t="s">
        <v>564</v>
      </c>
      <c r="C22" s="29" t="s">
        <v>565</v>
      </c>
      <c r="D22" s="10" t="n">
        <v>5</v>
      </c>
      <c r="E22" s="29"/>
      <c r="F22" s="29" t="str">
        <f aca="false">IF(E22="","",IF(UPPER(E22)="N/A","N/A",D22*E22))</f>
        <v/>
      </c>
      <c r="G22" s="30" t="s">
        <v>566</v>
      </c>
      <c r="H22" s="7"/>
    </row>
    <row r="23" customFormat="false" ht="42" hidden="false" customHeight="true" outlineLevel="0" collapsed="false">
      <c r="A23" s="58" t="s">
        <v>567</v>
      </c>
      <c r="B23" s="7" t="s">
        <v>568</v>
      </c>
      <c r="C23" s="29" t="s">
        <v>569</v>
      </c>
      <c r="D23" s="10" t="n">
        <v>5</v>
      </c>
      <c r="E23" s="29"/>
      <c r="F23" s="29" t="str">
        <f aca="false">IF(E23="","",IF(UPPER(E23)="N/A","N/A",D23*E23))</f>
        <v/>
      </c>
      <c r="G23" s="30" t="s">
        <v>570</v>
      </c>
      <c r="H23" s="7"/>
    </row>
    <row r="24" customFormat="false" ht="39.75" hidden="false" customHeight="true" outlineLevel="0" collapsed="false">
      <c r="A24" s="58" t="s">
        <v>571</v>
      </c>
      <c r="B24" s="7" t="s">
        <v>572</v>
      </c>
      <c r="C24" s="29" t="s">
        <v>565</v>
      </c>
      <c r="D24" s="10" t="n">
        <v>5</v>
      </c>
      <c r="E24" s="29"/>
      <c r="F24" s="29" t="str">
        <f aca="false">IF(E24="","",IF(UPPER(E24)="N/A","N/A",D24*E24))</f>
        <v/>
      </c>
      <c r="G24" s="30" t="s">
        <v>573</v>
      </c>
      <c r="H24" s="7"/>
    </row>
    <row r="25" customFormat="false" ht="42" hidden="false" customHeight="true" outlineLevel="0" collapsed="false">
      <c r="A25" s="58" t="s">
        <v>574</v>
      </c>
      <c r="B25" s="7" t="s">
        <v>575</v>
      </c>
      <c r="C25" s="29" t="s">
        <v>576</v>
      </c>
      <c r="D25" s="10" t="n">
        <v>5</v>
      </c>
      <c r="E25" s="29"/>
      <c r="F25" s="29" t="str">
        <f aca="false">IF(E25="","",IF(UPPER(E25)="N/A","N/A",D25*E25))</f>
        <v/>
      </c>
      <c r="G25" s="30" t="s">
        <v>577</v>
      </c>
      <c r="H25" s="7"/>
    </row>
    <row r="26" customFormat="false" ht="39.75" hidden="false" customHeight="true" outlineLevel="0" collapsed="false">
      <c r="A26" s="58" t="s">
        <v>578</v>
      </c>
      <c r="B26" s="7" t="s">
        <v>579</v>
      </c>
      <c r="C26" s="29" t="s">
        <v>580</v>
      </c>
      <c r="D26" s="10" t="n">
        <v>5</v>
      </c>
      <c r="E26" s="29"/>
      <c r="F26" s="29" t="str">
        <f aca="false">IF(E26="","",IF(UPPER(E26)="N/A","N/A",D26*E26))</f>
        <v/>
      </c>
      <c r="G26" s="30" t="s">
        <v>581</v>
      </c>
      <c r="H26" s="7"/>
    </row>
    <row r="27" customFormat="false" ht="39.75" hidden="false" customHeight="true" outlineLevel="0" collapsed="false">
      <c r="A27" s="58" t="s">
        <v>582</v>
      </c>
      <c r="B27" s="7" t="s">
        <v>583</v>
      </c>
      <c r="C27" s="29" t="s">
        <v>584</v>
      </c>
      <c r="D27" s="10" t="n">
        <v>5</v>
      </c>
      <c r="E27" s="29"/>
      <c r="F27" s="29" t="str">
        <f aca="false">IF(E27="","",IF(UPPER(E27)="N/A","N/A",D27*E27))</f>
        <v/>
      </c>
      <c r="G27" s="30" t="s">
        <v>585</v>
      </c>
      <c r="H27" s="7"/>
    </row>
    <row r="28" customFormat="false" ht="39.75" hidden="false" customHeight="true" outlineLevel="0" collapsed="false">
      <c r="A28" s="58" t="s">
        <v>586</v>
      </c>
      <c r="B28" s="7" t="s">
        <v>587</v>
      </c>
      <c r="C28" s="29" t="s">
        <v>588</v>
      </c>
      <c r="D28" s="10" t="n">
        <v>3</v>
      </c>
      <c r="E28" s="29"/>
      <c r="F28" s="29" t="str">
        <f aca="false">IF(E28="","",IF(UPPER(E28)="N/A","N/A",D28*E28))</f>
        <v/>
      </c>
      <c r="G28" s="30" t="s">
        <v>589</v>
      </c>
      <c r="H28" s="7"/>
    </row>
    <row r="29" customFormat="false" ht="39.75" hidden="false" customHeight="true" outlineLevel="0" collapsed="false">
      <c r="A29" s="58" t="s">
        <v>590</v>
      </c>
      <c r="B29" s="7" t="s">
        <v>591</v>
      </c>
      <c r="C29" s="29" t="s">
        <v>592</v>
      </c>
      <c r="D29" s="10" t="n">
        <v>4</v>
      </c>
      <c r="E29" s="29"/>
      <c r="F29" s="29" t="str">
        <f aca="false">IF(E29="","",IF(UPPER(E29)="N/A","N/A",D29*E29))</f>
        <v/>
      </c>
      <c r="G29" s="30" t="s">
        <v>593</v>
      </c>
      <c r="H29" s="7"/>
    </row>
    <row r="30" customFormat="false" ht="39.75" hidden="false" customHeight="true" outlineLevel="0" collapsed="false">
      <c r="A30" s="58" t="s">
        <v>594</v>
      </c>
      <c r="B30" s="7" t="s">
        <v>595</v>
      </c>
      <c r="C30" s="29" t="s">
        <v>596</v>
      </c>
      <c r="D30" s="10" t="n">
        <v>5</v>
      </c>
      <c r="E30" s="29"/>
      <c r="F30" s="29" t="str">
        <f aca="false">IF(E30="","",IF(UPPER(E30)="N/A","N/A",D30*E30))</f>
        <v/>
      </c>
      <c r="G30" s="30" t="s">
        <v>597</v>
      </c>
      <c r="H30" s="7"/>
    </row>
    <row r="31" customFormat="false" ht="39.75" hidden="false" customHeight="true" outlineLevel="0" collapsed="false">
      <c r="A31" s="58" t="s">
        <v>598</v>
      </c>
      <c r="B31" s="7" t="s">
        <v>599</v>
      </c>
      <c r="C31" s="29" t="s">
        <v>600</v>
      </c>
      <c r="D31" s="10" t="n">
        <v>5</v>
      </c>
      <c r="E31" s="29"/>
      <c r="F31" s="29" t="str">
        <f aca="false">IF(E31="","",IF(UPPER(E31)="N/A","N/A",D31*E31))</f>
        <v/>
      </c>
      <c r="G31" s="30" t="s">
        <v>601</v>
      </c>
      <c r="H31" s="7"/>
    </row>
    <row r="32" customFormat="false" ht="42" hidden="false" customHeight="true" outlineLevel="0" collapsed="false">
      <c r="A32" s="58" t="s">
        <v>602</v>
      </c>
      <c r="B32" s="7" t="s">
        <v>603</v>
      </c>
      <c r="C32" s="29" t="s">
        <v>604</v>
      </c>
      <c r="D32" s="10" t="n">
        <v>4</v>
      </c>
      <c r="E32" s="29"/>
      <c r="F32" s="29" t="str">
        <f aca="false">IF(E32="","",IF(UPPER(E32)="N/A","N/A",D32*E32))</f>
        <v/>
      </c>
      <c r="G32" s="30" t="s">
        <v>605</v>
      </c>
      <c r="H32" s="7"/>
    </row>
    <row r="33" customFormat="false" ht="39.75" hidden="false" customHeight="true" outlineLevel="0" collapsed="false">
      <c r="A33" s="58" t="s">
        <v>606</v>
      </c>
      <c r="B33" s="7" t="s">
        <v>607</v>
      </c>
      <c r="C33" s="29" t="s">
        <v>608</v>
      </c>
      <c r="D33" s="10" t="n">
        <v>4</v>
      </c>
      <c r="E33" s="29"/>
      <c r="F33" s="29" t="str">
        <f aca="false">IF(E33="","",IF(UPPER(E33)="N/A","N/A",D33*E33))</f>
        <v/>
      </c>
      <c r="G33" s="30" t="s">
        <v>609</v>
      </c>
      <c r="H33" s="7"/>
    </row>
    <row r="34" customFormat="false" ht="39.75" hidden="false" customHeight="true" outlineLevel="0" collapsed="false">
      <c r="A34" s="58" t="s">
        <v>610</v>
      </c>
      <c r="B34" s="7" t="s">
        <v>611</v>
      </c>
      <c r="C34" s="29" t="s">
        <v>612</v>
      </c>
      <c r="D34" s="10" t="n">
        <v>2</v>
      </c>
      <c r="E34" s="29"/>
      <c r="F34" s="29" t="str">
        <f aca="false">IF(E34="","",IF(UPPER(E34)="N/A","N/A",D34*E34))</f>
        <v/>
      </c>
      <c r="G34" s="30" t="s">
        <v>613</v>
      </c>
      <c r="H34" s="7"/>
    </row>
    <row r="35" customFormat="false" ht="39.75" hidden="false" customHeight="true" outlineLevel="0" collapsed="false">
      <c r="A35" s="58" t="s">
        <v>614</v>
      </c>
      <c r="B35" s="7" t="s">
        <v>615</v>
      </c>
      <c r="C35" s="29" t="s">
        <v>616</v>
      </c>
      <c r="D35" s="10" t="n">
        <v>4</v>
      </c>
      <c r="E35" s="29"/>
      <c r="F35" s="29" t="str">
        <f aca="false">IF(E35="","",IF(UPPER(E35)="N/A","N/A",D35*E35))</f>
        <v/>
      </c>
      <c r="G35" s="30" t="s">
        <v>617</v>
      </c>
      <c r="H35" s="7"/>
    </row>
    <row r="36" customFormat="false" ht="42" hidden="false" customHeight="true" outlineLevel="0" collapsed="false">
      <c r="A36" s="58" t="s">
        <v>618</v>
      </c>
      <c r="B36" s="7" t="s">
        <v>619</v>
      </c>
      <c r="C36" s="29" t="s">
        <v>620</v>
      </c>
      <c r="D36" s="10" t="n">
        <v>4</v>
      </c>
      <c r="E36" s="29"/>
      <c r="F36" s="29" t="str">
        <f aca="false">IF(E36="","",IF(UPPER(E36)="N/A","N/A",D36*E36))</f>
        <v/>
      </c>
      <c r="G36" s="30" t="s">
        <v>621</v>
      </c>
      <c r="H36" s="7"/>
    </row>
    <row r="37" customFormat="false" ht="42" hidden="false" customHeight="true" outlineLevel="0" collapsed="false">
      <c r="A37" s="58" t="s">
        <v>622</v>
      </c>
      <c r="B37" s="7" t="s">
        <v>623</v>
      </c>
      <c r="C37" s="29" t="s">
        <v>604</v>
      </c>
      <c r="D37" s="10" t="n">
        <v>3</v>
      </c>
      <c r="E37" s="29"/>
      <c r="F37" s="29" t="str">
        <f aca="false">IF(E37="","",IF(UPPER(E37)="N/A","N/A",D37*E37))</f>
        <v/>
      </c>
      <c r="G37" s="30" t="s">
        <v>624</v>
      </c>
      <c r="H37" s="7"/>
    </row>
    <row r="38" customFormat="false" ht="42" hidden="false" customHeight="true" outlineLevel="0" collapsed="false">
      <c r="A38" s="58" t="s">
        <v>625</v>
      </c>
      <c r="B38" s="7" t="s">
        <v>626</v>
      </c>
      <c r="C38" s="29" t="s">
        <v>627</v>
      </c>
      <c r="D38" s="10" t="n">
        <v>5</v>
      </c>
      <c r="E38" s="29"/>
      <c r="F38" s="29" t="str">
        <f aca="false">IF(E38="","",IF(UPPER(E38)="N/A","N/A",D38*E38))</f>
        <v/>
      </c>
      <c r="G38" s="30" t="s">
        <v>628</v>
      </c>
      <c r="H38" s="7"/>
    </row>
    <row r="39" customFormat="false" ht="39.75" hidden="false" customHeight="true" outlineLevel="0" collapsed="false">
      <c r="A39" s="58" t="s">
        <v>629</v>
      </c>
      <c r="B39" s="7" t="s">
        <v>630</v>
      </c>
      <c r="C39" s="29" t="s">
        <v>631</v>
      </c>
      <c r="D39" s="10" t="n">
        <v>3</v>
      </c>
      <c r="E39" s="29"/>
      <c r="F39" s="29" t="str">
        <f aca="false">IF(E39="","",IF(UPPER(E39)="N/A","N/A",D39*E39))</f>
        <v/>
      </c>
      <c r="G39" s="30" t="s">
        <v>632</v>
      </c>
      <c r="H39" s="7"/>
    </row>
    <row r="40" customFormat="false" ht="39.75" hidden="false" customHeight="true" outlineLevel="0" collapsed="false">
      <c r="A40" s="58" t="s">
        <v>633</v>
      </c>
      <c r="B40" s="7" t="s">
        <v>634</v>
      </c>
      <c r="C40" s="29" t="s">
        <v>635</v>
      </c>
      <c r="D40" s="10" t="n">
        <v>3</v>
      </c>
      <c r="E40" s="29"/>
      <c r="F40" s="29" t="str">
        <f aca="false">IF(E40="","",IF(UPPER(E40)="N/A","N/A",D40*E40))</f>
        <v/>
      </c>
      <c r="G40" s="30" t="s">
        <v>636</v>
      </c>
      <c r="H40" s="7"/>
    </row>
    <row r="41" customFormat="false" ht="39.75" hidden="false" customHeight="true" outlineLevel="0" collapsed="false">
      <c r="A41" s="58" t="s">
        <v>637</v>
      </c>
      <c r="B41" s="7" t="s">
        <v>638</v>
      </c>
      <c r="C41" s="29" t="s">
        <v>639</v>
      </c>
      <c r="D41" s="10" t="n">
        <v>4</v>
      </c>
      <c r="E41" s="29"/>
      <c r="F41" s="29" t="str">
        <f aca="false">IF(E41="","",IF(UPPER(E41)="N/A","N/A",D41*E41))</f>
        <v/>
      </c>
      <c r="G41" s="30" t="s">
        <v>640</v>
      </c>
      <c r="H41" s="7"/>
    </row>
    <row r="43" customFormat="false" ht="31.5" hidden="false" customHeight="true" outlineLevel="0" collapsed="false">
      <c r="A43" s="56" t="s">
        <v>181</v>
      </c>
      <c r="B43" s="56"/>
      <c r="C43" s="56"/>
      <c r="D43" s="56"/>
      <c r="E43" s="56"/>
      <c r="F43" s="56"/>
      <c r="G43" s="56"/>
      <c r="H43" s="56"/>
    </row>
    <row r="44" customFormat="false" ht="36" hidden="false" customHeight="true" outlineLevel="0" collapsed="false">
      <c r="A44" s="20" t="s">
        <v>182</v>
      </c>
      <c r="B44" s="31" t="n">
        <f aca="false">SUMPRODUCT(IFERROR((F22:F41+0),0))</f>
        <v>0</v>
      </c>
      <c r="C44" s="20" t="s">
        <v>183</v>
      </c>
      <c r="D44" s="31" t="n">
        <f aca="false">SUMPRODUCT((F22:F41&lt;&gt;"N/A")*(F22:F41&lt;&gt;"")*(D22:D41*2))</f>
        <v>0</v>
      </c>
      <c r="E44" s="20" t="s">
        <v>15</v>
      </c>
      <c r="F44" s="59" t="str">
        <f aca="false">IFERROR(B44/D44,"")</f>
        <v/>
      </c>
      <c r="G44" s="20" t="s">
        <v>16</v>
      </c>
      <c r="H44" s="33" t="str">
        <f aca="false">IFERROR(IF(F44="","",IF(F44&gt;=0.95,"Compliant",IF(F44&gt;=0.85,"Substantially compliant",IF(F44&gt;=0.7,"Partially compliant","Non-compliant")))),"")</f>
        <v/>
      </c>
    </row>
    <row r="46" customFormat="false" ht="15" hidden="false" customHeight="false" outlineLevel="0" collapsed="false">
      <c r="A46" s="34" t="s">
        <v>184</v>
      </c>
      <c r="B46" s="34"/>
      <c r="C46" s="34"/>
      <c r="D46" s="34"/>
      <c r="E46" s="34"/>
      <c r="F46" s="34"/>
      <c r="G46" s="34"/>
      <c r="H46" s="34"/>
    </row>
    <row r="48" customFormat="false" ht="31.5" hidden="false" customHeight="true" outlineLevel="0" collapsed="false">
      <c r="A48" s="56" t="s">
        <v>185</v>
      </c>
      <c r="B48" s="56"/>
      <c r="C48" s="56"/>
      <c r="D48" s="56"/>
      <c r="E48" s="56"/>
      <c r="F48" s="56"/>
      <c r="G48" s="56"/>
      <c r="H48" s="56"/>
    </row>
    <row r="49" customFormat="false" ht="25.5" hidden="false" customHeight="true" outlineLevel="0" collapsed="false">
      <c r="A49" s="35" t="s">
        <v>186</v>
      </c>
      <c r="B49" s="35"/>
      <c r="C49" s="35"/>
      <c r="D49" s="35"/>
      <c r="E49" s="35"/>
      <c r="F49" s="35"/>
      <c r="G49" s="35"/>
      <c r="H49" s="35"/>
    </row>
    <row r="50" customFormat="false" ht="25.5" hidden="false" customHeight="true" outlineLevel="0" collapsed="false">
      <c r="A50" s="35"/>
      <c r="B50" s="35"/>
      <c r="C50" s="35"/>
      <c r="D50" s="35"/>
      <c r="E50" s="35"/>
      <c r="F50" s="35"/>
      <c r="G50" s="35"/>
      <c r="H50" s="35"/>
    </row>
    <row r="51" customFormat="false" ht="25.5" hidden="false" customHeight="true" outlineLevel="0" collapsed="false">
      <c r="A51" s="35"/>
      <c r="B51" s="35"/>
      <c r="C51" s="35"/>
      <c r="D51" s="35"/>
      <c r="E51" s="35"/>
      <c r="F51" s="35"/>
      <c r="G51" s="35"/>
      <c r="H51" s="35"/>
    </row>
    <row r="52" customFormat="false" ht="25.5" hidden="false" customHeight="true" outlineLevel="0" collapsed="false">
      <c r="A52" s="35"/>
      <c r="B52" s="35"/>
      <c r="C52" s="35"/>
      <c r="D52" s="35"/>
      <c r="E52" s="35"/>
      <c r="F52" s="35"/>
      <c r="G52" s="35"/>
      <c r="H52" s="35"/>
    </row>
    <row r="54" customFormat="false" ht="31.5" hidden="false" customHeight="true" outlineLevel="0" collapsed="false">
      <c r="A54" s="56" t="s">
        <v>187</v>
      </c>
      <c r="B54" s="56"/>
      <c r="C54" s="56"/>
      <c r="D54" s="56"/>
      <c r="E54" s="56"/>
      <c r="F54" s="56"/>
      <c r="G54" s="56"/>
      <c r="H54" s="56"/>
    </row>
    <row r="55" customFormat="false" ht="25.5" hidden="false" customHeight="true" outlineLevel="0" collapsed="false">
      <c r="A55" s="35" t="s">
        <v>188</v>
      </c>
      <c r="B55" s="35"/>
      <c r="C55" s="35"/>
      <c r="D55" s="35"/>
      <c r="E55" s="35"/>
      <c r="F55" s="35"/>
      <c r="G55" s="35"/>
      <c r="H55" s="35"/>
    </row>
    <row r="56" customFormat="false" ht="25.5" hidden="false" customHeight="true" outlineLevel="0" collapsed="false">
      <c r="A56" s="35"/>
      <c r="B56" s="35"/>
      <c r="C56" s="35"/>
      <c r="D56" s="35"/>
      <c r="E56" s="35"/>
      <c r="F56" s="35"/>
      <c r="G56" s="35"/>
      <c r="H56" s="35"/>
    </row>
    <row r="57" customFormat="false" ht="25.5" hidden="false" customHeight="true" outlineLevel="0" collapsed="false">
      <c r="A57" s="35"/>
      <c r="B57" s="35"/>
      <c r="C57" s="35"/>
      <c r="D57" s="35"/>
      <c r="E57" s="35"/>
      <c r="F57" s="35"/>
      <c r="G57" s="35"/>
      <c r="H57" s="35"/>
    </row>
    <row r="59" customFormat="false" ht="31.5" hidden="false" customHeight="true" outlineLevel="0" collapsed="false">
      <c r="A59" s="56" t="s">
        <v>189</v>
      </c>
      <c r="B59" s="56"/>
      <c r="C59" s="56"/>
      <c r="D59" s="56"/>
      <c r="E59" s="56"/>
      <c r="F59" s="56"/>
      <c r="G59" s="56"/>
      <c r="H59" s="56"/>
    </row>
    <row r="60" customFormat="false" ht="27.75" hidden="false" customHeight="true" outlineLevel="0" collapsed="false">
      <c r="A60" s="57" t="s">
        <v>190</v>
      </c>
      <c r="B60" s="57" t="s">
        <v>191</v>
      </c>
      <c r="C60" s="57" t="s">
        <v>12</v>
      </c>
      <c r="D60" s="57" t="s">
        <v>192</v>
      </c>
      <c r="E60" s="57" t="s">
        <v>193</v>
      </c>
      <c r="F60" s="57" t="s">
        <v>194</v>
      </c>
      <c r="G60" s="57" t="s">
        <v>195</v>
      </c>
      <c r="H60" s="57" t="s">
        <v>196</v>
      </c>
    </row>
    <row r="61" customFormat="false" ht="27.75" hidden="false" customHeight="true" outlineLevel="0" collapsed="false">
      <c r="A61" s="10" t="n">
        <v>1</v>
      </c>
      <c r="B61" s="7"/>
      <c r="C61" s="7"/>
      <c r="D61" s="8"/>
      <c r="E61" s="7"/>
      <c r="F61" s="7"/>
      <c r="G61" s="7"/>
      <c r="H61" s="8"/>
    </row>
    <row r="62" customFormat="false" ht="27.75" hidden="false" customHeight="true" outlineLevel="0" collapsed="false">
      <c r="A62" s="10" t="n">
        <v>2</v>
      </c>
      <c r="B62" s="7"/>
      <c r="C62" s="7"/>
      <c r="D62" s="8"/>
      <c r="E62" s="7"/>
      <c r="F62" s="7"/>
      <c r="G62" s="7"/>
      <c r="H62" s="8"/>
    </row>
    <row r="63" customFormat="false" ht="27.75" hidden="false" customHeight="true" outlineLevel="0" collapsed="false">
      <c r="A63" s="10" t="n">
        <v>3</v>
      </c>
      <c r="B63" s="7"/>
      <c r="C63" s="7"/>
      <c r="D63" s="8"/>
      <c r="E63" s="7"/>
      <c r="F63" s="7"/>
      <c r="G63" s="7"/>
      <c r="H63" s="8"/>
    </row>
    <row r="64" customFormat="false" ht="27.75" hidden="false" customHeight="true" outlineLevel="0" collapsed="false">
      <c r="A64" s="10" t="n">
        <v>4</v>
      </c>
      <c r="B64" s="7"/>
      <c r="C64" s="7"/>
      <c r="D64" s="8"/>
      <c r="E64" s="7"/>
      <c r="F64" s="7"/>
      <c r="G64" s="7"/>
      <c r="H64" s="8"/>
    </row>
    <row r="65" customFormat="false" ht="27.75" hidden="false" customHeight="true" outlineLevel="0" collapsed="false">
      <c r="A65" s="10" t="n">
        <v>5</v>
      </c>
      <c r="B65" s="7"/>
      <c r="C65" s="7"/>
      <c r="D65" s="8"/>
      <c r="E65" s="7"/>
      <c r="F65" s="7"/>
      <c r="G65" s="7"/>
      <c r="H65" s="8"/>
    </row>
    <row r="66" customFormat="false" ht="27.75" hidden="false" customHeight="true" outlineLevel="0" collapsed="false">
      <c r="A66" s="10" t="n">
        <v>6</v>
      </c>
      <c r="B66" s="7"/>
      <c r="C66" s="7"/>
      <c r="D66" s="8"/>
      <c r="E66" s="7"/>
      <c r="F66" s="7"/>
      <c r="G66" s="7"/>
      <c r="H66" s="8"/>
    </row>
    <row r="67" customFormat="false" ht="27.75" hidden="false" customHeight="true" outlineLevel="0" collapsed="false">
      <c r="A67" s="10" t="n">
        <v>7</v>
      </c>
      <c r="B67" s="7"/>
      <c r="C67" s="7"/>
      <c r="D67" s="8"/>
      <c r="E67" s="7"/>
      <c r="F67" s="7"/>
      <c r="G67" s="7"/>
      <c r="H67" s="8"/>
    </row>
    <row r="68" customFormat="false" ht="27.75" hidden="false" customHeight="true" outlineLevel="0" collapsed="false">
      <c r="A68" s="10" t="n">
        <v>8</v>
      </c>
      <c r="B68" s="7"/>
      <c r="C68" s="7"/>
      <c r="D68" s="8"/>
      <c r="E68" s="7"/>
      <c r="F68" s="7"/>
      <c r="G68" s="7"/>
      <c r="H68" s="8"/>
    </row>
    <row r="70" customFormat="false" ht="31.5" hidden="false" customHeight="true" outlineLevel="0" collapsed="false">
      <c r="A70" s="56" t="s">
        <v>197</v>
      </c>
      <c r="B70" s="56"/>
      <c r="C70" s="56"/>
      <c r="D70" s="56"/>
      <c r="E70" s="56"/>
      <c r="F70" s="56"/>
      <c r="G70" s="56"/>
      <c r="H70" s="56"/>
    </row>
    <row r="71" customFormat="false" ht="24" hidden="false" customHeight="true" outlineLevel="0" collapsed="false">
      <c r="A71" s="36" t="s">
        <v>198</v>
      </c>
      <c r="B71" s="36"/>
      <c r="C71" s="36" t="s">
        <v>199</v>
      </c>
      <c r="D71" s="36"/>
      <c r="E71" s="36" t="s">
        <v>200</v>
      </c>
      <c r="F71" s="36"/>
      <c r="G71" s="36" t="s">
        <v>201</v>
      </c>
      <c r="H71" s="36"/>
    </row>
    <row r="72" customFormat="false" ht="30" hidden="false" customHeight="true" outlineLevel="0" collapsed="false">
      <c r="A72" s="37" t="s">
        <v>202</v>
      </c>
      <c r="B72" s="37"/>
      <c r="C72" s="38"/>
      <c r="D72" s="38"/>
      <c r="E72" s="38"/>
      <c r="F72" s="38"/>
      <c r="G72" s="39"/>
      <c r="H72" s="39"/>
    </row>
    <row r="73" customFormat="false" ht="30" hidden="false" customHeight="true" outlineLevel="0" collapsed="false">
      <c r="A73" s="37" t="s">
        <v>203</v>
      </c>
      <c r="B73" s="37"/>
      <c r="C73" s="38"/>
      <c r="D73" s="38"/>
      <c r="E73" s="38"/>
      <c r="F73" s="38"/>
      <c r="G73" s="39"/>
      <c r="H73" s="39"/>
    </row>
    <row r="74" customFormat="false" ht="30" hidden="false" customHeight="true" outlineLevel="0" collapsed="false">
      <c r="A74" s="37" t="s">
        <v>204</v>
      </c>
      <c r="B74" s="37"/>
      <c r="C74" s="38"/>
      <c r="D74" s="38"/>
      <c r="E74" s="38"/>
      <c r="F74" s="38"/>
      <c r="G74" s="39"/>
      <c r="H74" s="39"/>
    </row>
    <row r="75" customFormat="false" ht="30" hidden="false" customHeight="true" outlineLevel="0" collapsed="false">
      <c r="A75" s="37" t="s">
        <v>205</v>
      </c>
      <c r="B75" s="37"/>
      <c r="C75" s="38"/>
      <c r="D75" s="38"/>
      <c r="E75" s="38"/>
      <c r="F75" s="38"/>
      <c r="G75" s="39"/>
      <c r="H75"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3:H43"/>
    <mergeCell ref="A46:H46"/>
    <mergeCell ref="A48:H48"/>
    <mergeCell ref="A49:H52"/>
    <mergeCell ref="A54:H54"/>
    <mergeCell ref="A55:H57"/>
    <mergeCell ref="A59:H59"/>
    <mergeCell ref="A70:H70"/>
    <mergeCell ref="A71:B71"/>
    <mergeCell ref="C71:D71"/>
    <mergeCell ref="E71:F71"/>
    <mergeCell ref="G71:H71"/>
    <mergeCell ref="A72:B72"/>
    <mergeCell ref="A73:B73"/>
    <mergeCell ref="A74:B74"/>
    <mergeCell ref="A75:B75"/>
  </mergeCells>
  <conditionalFormatting sqref="E22:E41">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4">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1" type="list">
      <formula1>"0,1,2,N/A"</formula1>
      <formula2>0</formula2>
    </dataValidation>
    <dataValidation allowBlank="true" errorStyle="stop" operator="between" showDropDown="false" showErrorMessage="false" showInputMessage="false" sqref="E61:E68"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A1: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60" t="s">
        <v>641</v>
      </c>
      <c r="B1" s="60"/>
      <c r="C1" s="60"/>
      <c r="D1" s="60"/>
      <c r="E1" s="60"/>
      <c r="F1" s="60"/>
      <c r="G1" s="60"/>
      <c r="H1" s="60"/>
    </row>
    <row r="3" customFormat="false" ht="21.75" hidden="false" customHeight="true" outlineLevel="0" collapsed="false">
      <c r="A3" s="20" t="s">
        <v>68</v>
      </c>
      <c r="B3" s="21" t="s">
        <v>47</v>
      </c>
      <c r="C3" s="21"/>
      <c r="D3" s="21"/>
      <c r="E3" s="21"/>
      <c r="F3" s="21"/>
      <c r="G3" s="21"/>
      <c r="H3" s="21"/>
    </row>
    <row r="4" customFormat="false" ht="21.75" hidden="false" customHeight="true" outlineLevel="0" collapsed="false">
      <c r="A4" s="20" t="s">
        <v>69</v>
      </c>
      <c r="B4" s="21" t="s">
        <v>48</v>
      </c>
      <c r="C4" s="21"/>
      <c r="D4" s="21"/>
      <c r="E4" s="21"/>
      <c r="F4" s="21"/>
      <c r="G4" s="21"/>
      <c r="H4" s="21"/>
    </row>
    <row r="5" customFormat="false" ht="21.75" hidden="false" customHeight="true" outlineLevel="0" collapsed="false">
      <c r="A5" s="20" t="s">
        <v>11</v>
      </c>
      <c r="B5" s="21" t="s">
        <v>49</v>
      </c>
      <c r="C5" s="21"/>
      <c r="D5" s="21"/>
      <c r="E5" s="21"/>
      <c r="F5" s="21"/>
      <c r="G5" s="21"/>
      <c r="H5" s="21"/>
    </row>
    <row r="6" customFormat="false" ht="21.75" hidden="false" customHeight="true" outlineLevel="0" collapsed="false">
      <c r="A6" s="20" t="s">
        <v>12</v>
      </c>
      <c r="B6" s="21" t="s">
        <v>50</v>
      </c>
      <c r="C6" s="21"/>
      <c r="D6" s="21"/>
      <c r="E6" s="21"/>
      <c r="F6" s="21"/>
      <c r="G6" s="21"/>
      <c r="H6" s="21"/>
    </row>
    <row r="7" customFormat="false" ht="21.75" hidden="false" customHeight="true" outlineLevel="0" collapsed="false">
      <c r="A7" s="20" t="s">
        <v>13</v>
      </c>
      <c r="B7" s="21" t="s">
        <v>51</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61" t="s">
        <v>76</v>
      </c>
      <c r="B12" s="61"/>
      <c r="C12" s="61"/>
      <c r="D12" s="61"/>
      <c r="E12" s="61"/>
      <c r="F12" s="61"/>
      <c r="G12" s="61"/>
      <c r="H12" s="61"/>
    </row>
    <row r="13" customFormat="false" ht="39.75" hidden="false" customHeight="true" outlineLevel="0" collapsed="false">
      <c r="A13" s="24" t="s">
        <v>77</v>
      </c>
      <c r="B13" s="25" t="s">
        <v>642</v>
      </c>
      <c r="C13" s="25"/>
      <c r="D13" s="25"/>
      <c r="E13" s="25"/>
      <c r="F13" s="25"/>
      <c r="G13" s="25"/>
      <c r="H13" s="25"/>
    </row>
    <row r="14" customFormat="false" ht="69.75" hidden="false" customHeight="true" outlineLevel="0" collapsed="false">
      <c r="A14" s="24" t="s">
        <v>79</v>
      </c>
      <c r="B14" s="25" t="s">
        <v>643</v>
      </c>
      <c r="C14" s="25"/>
      <c r="D14" s="25"/>
      <c r="E14" s="25"/>
      <c r="F14" s="25"/>
      <c r="G14" s="25"/>
      <c r="H14" s="25"/>
    </row>
    <row r="15" customFormat="false" ht="145.5" hidden="false" customHeight="true" outlineLevel="0" collapsed="false">
      <c r="A15" s="24" t="s">
        <v>81</v>
      </c>
      <c r="B15" s="25" t="s">
        <v>644</v>
      </c>
      <c r="C15" s="25"/>
      <c r="D15" s="25"/>
      <c r="E15" s="25"/>
      <c r="F15" s="25"/>
      <c r="G15" s="25"/>
      <c r="H15" s="25"/>
    </row>
    <row r="17" customFormat="false" ht="31.5" hidden="false" customHeight="true" outlineLevel="0" collapsed="false">
      <c r="A17" s="61" t="s">
        <v>83</v>
      </c>
      <c r="B17" s="61"/>
      <c r="C17" s="61"/>
      <c r="D17" s="61"/>
      <c r="E17" s="61"/>
      <c r="F17" s="61"/>
      <c r="G17" s="61"/>
      <c r="H17" s="61"/>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61" t="s">
        <v>85</v>
      </c>
      <c r="B20" s="61"/>
      <c r="C20" s="61"/>
      <c r="D20" s="61"/>
      <c r="E20" s="61"/>
      <c r="F20" s="61"/>
      <c r="G20" s="61"/>
      <c r="H20" s="61"/>
    </row>
    <row r="21" customFormat="false" ht="36" hidden="false" customHeight="true" outlineLevel="0" collapsed="false">
      <c r="A21" s="62" t="s">
        <v>86</v>
      </c>
      <c r="B21" s="62" t="s">
        <v>87</v>
      </c>
      <c r="C21" s="62" t="s">
        <v>88</v>
      </c>
      <c r="D21" s="62" t="s">
        <v>89</v>
      </c>
      <c r="E21" s="62" t="s">
        <v>90</v>
      </c>
      <c r="F21" s="62" t="s">
        <v>91</v>
      </c>
      <c r="G21" s="62" t="s">
        <v>92</v>
      </c>
      <c r="H21" s="62" t="s">
        <v>93</v>
      </c>
    </row>
    <row r="22" customFormat="false" ht="42" hidden="false" customHeight="true" outlineLevel="0" collapsed="false">
      <c r="A22" s="63" t="s">
        <v>645</v>
      </c>
      <c r="B22" s="7" t="s">
        <v>646</v>
      </c>
      <c r="C22" s="29" t="s">
        <v>647</v>
      </c>
      <c r="D22" s="10" t="n">
        <v>5</v>
      </c>
      <c r="E22" s="29"/>
      <c r="F22" s="29" t="str">
        <f aca="false">IF(E22="","",IF(UPPER(E22)="N/A","N/A",D22*E22))</f>
        <v/>
      </c>
      <c r="G22" s="30" t="s">
        <v>648</v>
      </c>
      <c r="H22" s="7"/>
    </row>
    <row r="23" customFormat="false" ht="42" hidden="false" customHeight="true" outlineLevel="0" collapsed="false">
      <c r="A23" s="63" t="s">
        <v>649</v>
      </c>
      <c r="B23" s="7" t="s">
        <v>650</v>
      </c>
      <c r="C23" s="29" t="s">
        <v>651</v>
      </c>
      <c r="D23" s="10" t="n">
        <v>5</v>
      </c>
      <c r="E23" s="29"/>
      <c r="F23" s="29" t="str">
        <f aca="false">IF(E23="","",IF(UPPER(E23)="N/A","N/A",D23*E23))</f>
        <v/>
      </c>
      <c r="G23" s="30" t="s">
        <v>652</v>
      </c>
      <c r="H23" s="7"/>
    </row>
    <row r="24" customFormat="false" ht="42" hidden="false" customHeight="true" outlineLevel="0" collapsed="false">
      <c r="A24" s="63" t="s">
        <v>653</v>
      </c>
      <c r="B24" s="7" t="s">
        <v>654</v>
      </c>
      <c r="C24" s="29" t="s">
        <v>655</v>
      </c>
      <c r="D24" s="10" t="n">
        <v>5</v>
      </c>
      <c r="E24" s="29"/>
      <c r="F24" s="29" t="str">
        <f aca="false">IF(E24="","",IF(UPPER(E24)="N/A","N/A",D24*E24))</f>
        <v/>
      </c>
      <c r="G24" s="30" t="s">
        <v>656</v>
      </c>
      <c r="H24" s="7"/>
    </row>
    <row r="25" customFormat="false" ht="42" hidden="false" customHeight="true" outlineLevel="0" collapsed="false">
      <c r="A25" s="63" t="s">
        <v>657</v>
      </c>
      <c r="B25" s="7" t="s">
        <v>658</v>
      </c>
      <c r="C25" s="29" t="s">
        <v>659</v>
      </c>
      <c r="D25" s="10" t="n">
        <v>5</v>
      </c>
      <c r="E25" s="29"/>
      <c r="F25" s="29" t="str">
        <f aca="false">IF(E25="","",IF(UPPER(E25)="N/A","N/A",D25*E25))</f>
        <v/>
      </c>
      <c r="G25" s="30" t="s">
        <v>660</v>
      </c>
      <c r="H25" s="7"/>
    </row>
    <row r="26" customFormat="false" ht="39.75" hidden="false" customHeight="true" outlineLevel="0" collapsed="false">
      <c r="A26" s="63" t="s">
        <v>661</v>
      </c>
      <c r="B26" s="7" t="s">
        <v>662</v>
      </c>
      <c r="C26" s="29" t="s">
        <v>663</v>
      </c>
      <c r="D26" s="10" t="n">
        <v>5</v>
      </c>
      <c r="E26" s="29"/>
      <c r="F26" s="29" t="str">
        <f aca="false">IF(E26="","",IF(UPPER(E26)="N/A","N/A",D26*E26))</f>
        <v/>
      </c>
      <c r="G26" s="30" t="s">
        <v>664</v>
      </c>
      <c r="H26" s="7"/>
    </row>
    <row r="27" customFormat="false" ht="39.75" hidden="false" customHeight="true" outlineLevel="0" collapsed="false">
      <c r="A27" s="63" t="s">
        <v>665</v>
      </c>
      <c r="B27" s="7" t="s">
        <v>666</v>
      </c>
      <c r="C27" s="29" t="s">
        <v>667</v>
      </c>
      <c r="D27" s="10" t="n">
        <v>5</v>
      </c>
      <c r="E27" s="29"/>
      <c r="F27" s="29" t="str">
        <f aca="false">IF(E27="","",IF(UPPER(E27)="N/A","N/A",D27*E27))</f>
        <v/>
      </c>
      <c r="G27" s="30" t="s">
        <v>668</v>
      </c>
      <c r="H27" s="7"/>
    </row>
    <row r="28" customFormat="false" ht="39.75" hidden="false" customHeight="true" outlineLevel="0" collapsed="false">
      <c r="A28" s="63" t="s">
        <v>669</v>
      </c>
      <c r="B28" s="7" t="s">
        <v>670</v>
      </c>
      <c r="C28" s="29" t="s">
        <v>671</v>
      </c>
      <c r="D28" s="10" t="n">
        <v>4</v>
      </c>
      <c r="E28" s="29"/>
      <c r="F28" s="29" t="str">
        <f aca="false">IF(E28="","",IF(UPPER(E28)="N/A","N/A",D28*E28))</f>
        <v/>
      </c>
      <c r="G28" s="30" t="s">
        <v>672</v>
      </c>
      <c r="H28" s="7"/>
    </row>
    <row r="29" customFormat="false" ht="39.75" hidden="false" customHeight="true" outlineLevel="0" collapsed="false">
      <c r="A29" s="63" t="s">
        <v>673</v>
      </c>
      <c r="B29" s="7" t="s">
        <v>674</v>
      </c>
      <c r="C29" s="29" t="s">
        <v>667</v>
      </c>
      <c r="D29" s="10" t="n">
        <v>4</v>
      </c>
      <c r="E29" s="29"/>
      <c r="F29" s="29" t="str">
        <f aca="false">IF(E29="","",IF(UPPER(E29)="N/A","N/A",D29*E29))</f>
        <v/>
      </c>
      <c r="G29" s="30" t="s">
        <v>675</v>
      </c>
      <c r="H29" s="7"/>
    </row>
    <row r="30" customFormat="false" ht="39.75" hidden="false" customHeight="true" outlineLevel="0" collapsed="false">
      <c r="A30" s="63" t="s">
        <v>676</v>
      </c>
      <c r="B30" s="7" t="s">
        <v>677</v>
      </c>
      <c r="C30" s="29" t="s">
        <v>678</v>
      </c>
      <c r="D30" s="10" t="n">
        <v>4</v>
      </c>
      <c r="E30" s="29"/>
      <c r="F30" s="29" t="str">
        <f aca="false">IF(E30="","",IF(UPPER(E30)="N/A","N/A",D30*E30))</f>
        <v/>
      </c>
      <c r="G30" s="30" t="s">
        <v>679</v>
      </c>
      <c r="H30" s="7"/>
    </row>
    <row r="31" customFormat="false" ht="39.75" hidden="false" customHeight="true" outlineLevel="0" collapsed="false">
      <c r="A31" s="63" t="s">
        <v>680</v>
      </c>
      <c r="B31" s="7" t="s">
        <v>681</v>
      </c>
      <c r="C31" s="29" t="s">
        <v>682</v>
      </c>
      <c r="D31" s="10" t="n">
        <v>3</v>
      </c>
      <c r="E31" s="29"/>
      <c r="F31" s="29" t="str">
        <f aca="false">IF(E31="","",IF(UPPER(E31)="N/A","N/A",D31*E31))</f>
        <v/>
      </c>
      <c r="G31" s="30" t="s">
        <v>683</v>
      </c>
      <c r="H31" s="7"/>
    </row>
    <row r="32" customFormat="false" ht="39.75" hidden="false" customHeight="true" outlineLevel="0" collapsed="false">
      <c r="A32" s="63" t="s">
        <v>684</v>
      </c>
      <c r="B32" s="7" t="s">
        <v>685</v>
      </c>
      <c r="C32" s="29" t="s">
        <v>686</v>
      </c>
      <c r="D32" s="10" t="n">
        <v>5</v>
      </c>
      <c r="E32" s="29"/>
      <c r="F32" s="29" t="str">
        <f aca="false">IF(E32="","",IF(UPPER(E32)="N/A","N/A",D32*E32))</f>
        <v/>
      </c>
      <c r="G32" s="30" t="s">
        <v>687</v>
      </c>
      <c r="H32" s="7"/>
    </row>
    <row r="33" customFormat="false" ht="39.75" hidden="false" customHeight="true" outlineLevel="0" collapsed="false">
      <c r="A33" s="63" t="s">
        <v>688</v>
      </c>
      <c r="B33" s="7" t="s">
        <v>689</v>
      </c>
      <c r="C33" s="29" t="s">
        <v>690</v>
      </c>
      <c r="D33" s="10" t="n">
        <v>4</v>
      </c>
      <c r="E33" s="29"/>
      <c r="F33" s="29" t="str">
        <f aca="false">IF(E33="","",IF(UPPER(E33)="N/A","N/A",D33*E33))</f>
        <v/>
      </c>
      <c r="G33" s="30" t="s">
        <v>609</v>
      </c>
      <c r="H33" s="7"/>
    </row>
    <row r="34" customFormat="false" ht="42" hidden="false" customHeight="true" outlineLevel="0" collapsed="false">
      <c r="A34" s="63" t="s">
        <v>691</v>
      </c>
      <c r="B34" s="7" t="s">
        <v>692</v>
      </c>
      <c r="C34" s="29" t="s">
        <v>693</v>
      </c>
      <c r="D34" s="10" t="n">
        <v>3</v>
      </c>
      <c r="E34" s="29"/>
      <c r="F34" s="29" t="str">
        <f aca="false">IF(E34="","",IF(UPPER(E34)="N/A","N/A",D34*E34))</f>
        <v/>
      </c>
      <c r="G34" s="30" t="s">
        <v>694</v>
      </c>
      <c r="H34" s="7"/>
    </row>
    <row r="35" customFormat="false" ht="39.75" hidden="false" customHeight="true" outlineLevel="0" collapsed="false">
      <c r="A35" s="63" t="s">
        <v>695</v>
      </c>
      <c r="B35" s="7" t="s">
        <v>696</v>
      </c>
      <c r="C35" s="29" t="s">
        <v>697</v>
      </c>
      <c r="D35" s="10" t="n">
        <v>3</v>
      </c>
      <c r="E35" s="29"/>
      <c r="F35" s="29" t="str">
        <f aca="false">IF(E35="","",IF(UPPER(E35)="N/A","N/A",D35*E35))</f>
        <v/>
      </c>
      <c r="G35" s="30" t="s">
        <v>698</v>
      </c>
      <c r="H35" s="7"/>
    </row>
    <row r="36" customFormat="false" ht="42" hidden="false" customHeight="true" outlineLevel="0" collapsed="false">
      <c r="A36" s="63" t="s">
        <v>699</v>
      </c>
      <c r="B36" s="7" t="s">
        <v>700</v>
      </c>
      <c r="C36" s="29" t="s">
        <v>701</v>
      </c>
      <c r="D36" s="10" t="n">
        <v>4</v>
      </c>
      <c r="E36" s="29"/>
      <c r="F36" s="29" t="str">
        <f aca="false">IF(E36="","",IF(UPPER(E36)="N/A","N/A",D36*E36))</f>
        <v/>
      </c>
      <c r="G36" s="30" t="s">
        <v>702</v>
      </c>
      <c r="H36" s="7"/>
    </row>
    <row r="37" customFormat="false" ht="39.75" hidden="false" customHeight="true" outlineLevel="0" collapsed="false">
      <c r="A37" s="63" t="s">
        <v>703</v>
      </c>
      <c r="B37" s="7" t="s">
        <v>704</v>
      </c>
      <c r="C37" s="29" t="s">
        <v>705</v>
      </c>
      <c r="D37" s="10" t="n">
        <v>3</v>
      </c>
      <c r="E37" s="29"/>
      <c r="F37" s="29" t="str">
        <f aca="false">IF(E37="","",IF(UPPER(E37)="N/A","N/A",D37*E37))</f>
        <v/>
      </c>
      <c r="G37" s="30" t="s">
        <v>706</v>
      </c>
      <c r="H37" s="7"/>
    </row>
    <row r="38" customFormat="false" ht="39.75" hidden="false" customHeight="true" outlineLevel="0" collapsed="false">
      <c r="A38" s="63" t="s">
        <v>707</v>
      </c>
      <c r="B38" s="7" t="s">
        <v>708</v>
      </c>
      <c r="C38" s="29" t="s">
        <v>709</v>
      </c>
      <c r="D38" s="10" t="n">
        <v>3</v>
      </c>
      <c r="E38" s="29"/>
      <c r="F38" s="29" t="str">
        <f aca="false">IF(E38="","",IF(UPPER(E38)="N/A","N/A",D38*E38))</f>
        <v/>
      </c>
      <c r="G38" s="30" t="s">
        <v>710</v>
      </c>
      <c r="H38" s="7"/>
    </row>
    <row r="39" customFormat="false" ht="42" hidden="false" customHeight="true" outlineLevel="0" collapsed="false">
      <c r="A39" s="63" t="s">
        <v>711</v>
      </c>
      <c r="B39" s="7" t="s">
        <v>712</v>
      </c>
      <c r="C39" s="29" t="s">
        <v>713</v>
      </c>
      <c r="D39" s="10" t="n">
        <v>2</v>
      </c>
      <c r="E39" s="29"/>
      <c r="F39" s="29" t="str">
        <f aca="false">IF(E39="","",IF(UPPER(E39)="N/A","N/A",D39*E39))</f>
        <v/>
      </c>
      <c r="G39" s="30" t="s">
        <v>714</v>
      </c>
      <c r="H39" s="7"/>
    </row>
    <row r="40" customFormat="false" ht="39.75" hidden="false" customHeight="true" outlineLevel="0" collapsed="false">
      <c r="A40" s="63" t="s">
        <v>715</v>
      </c>
      <c r="B40" s="7" t="s">
        <v>716</v>
      </c>
      <c r="C40" s="29" t="s">
        <v>717</v>
      </c>
      <c r="D40" s="10" t="n">
        <v>3</v>
      </c>
      <c r="E40" s="29"/>
      <c r="F40" s="29" t="str">
        <f aca="false">IF(E40="","",IF(UPPER(E40)="N/A","N/A",D40*E40))</f>
        <v/>
      </c>
      <c r="G40" s="30" t="s">
        <v>718</v>
      </c>
      <c r="H40" s="7"/>
    </row>
    <row r="41" customFormat="false" ht="39.75" hidden="false" customHeight="true" outlineLevel="0" collapsed="false">
      <c r="A41" s="63" t="s">
        <v>719</v>
      </c>
      <c r="B41" s="7" t="s">
        <v>720</v>
      </c>
      <c r="C41" s="29" t="s">
        <v>721</v>
      </c>
      <c r="D41" s="10" t="n">
        <v>3</v>
      </c>
      <c r="E41" s="29"/>
      <c r="F41" s="29" t="str">
        <f aca="false">IF(E41="","",IF(UPPER(E41)="N/A","N/A",D41*E41))</f>
        <v/>
      </c>
      <c r="G41" s="30" t="s">
        <v>722</v>
      </c>
      <c r="H41" s="7"/>
    </row>
    <row r="43" customFormat="false" ht="31.5" hidden="false" customHeight="true" outlineLevel="0" collapsed="false">
      <c r="A43" s="61" t="s">
        <v>181</v>
      </c>
      <c r="B43" s="61"/>
      <c r="C43" s="61"/>
      <c r="D43" s="61"/>
      <c r="E43" s="61"/>
      <c r="F43" s="61"/>
      <c r="G43" s="61"/>
      <c r="H43" s="61"/>
    </row>
    <row r="44" customFormat="false" ht="36" hidden="false" customHeight="true" outlineLevel="0" collapsed="false">
      <c r="A44" s="20" t="s">
        <v>182</v>
      </c>
      <c r="B44" s="31" t="n">
        <f aca="false">SUMPRODUCT(IFERROR((F22:F41+0),0))</f>
        <v>0</v>
      </c>
      <c r="C44" s="20" t="s">
        <v>183</v>
      </c>
      <c r="D44" s="31" t="n">
        <f aca="false">SUMPRODUCT((F22:F41&lt;&gt;"N/A")*(F22:F41&lt;&gt;"")*(D22:D41*2))</f>
        <v>0</v>
      </c>
      <c r="E44" s="20" t="s">
        <v>15</v>
      </c>
      <c r="F44" s="64" t="str">
        <f aca="false">IFERROR(B44/D44,"")</f>
        <v/>
      </c>
      <c r="G44" s="20" t="s">
        <v>16</v>
      </c>
      <c r="H44" s="33" t="str">
        <f aca="false">IFERROR(IF(F44="","",IF(F44&gt;=0.95,"Compliant",IF(F44&gt;=0.85,"Substantially compliant",IF(F44&gt;=0.7,"Partially compliant","Non-compliant")))),"")</f>
        <v/>
      </c>
    </row>
    <row r="46" customFormat="false" ht="15" hidden="false" customHeight="false" outlineLevel="0" collapsed="false">
      <c r="A46" s="34" t="s">
        <v>184</v>
      </c>
      <c r="B46" s="34"/>
      <c r="C46" s="34"/>
      <c r="D46" s="34"/>
      <c r="E46" s="34"/>
      <c r="F46" s="34"/>
      <c r="G46" s="34"/>
      <c r="H46" s="34"/>
    </row>
    <row r="48" customFormat="false" ht="31.5" hidden="false" customHeight="true" outlineLevel="0" collapsed="false">
      <c r="A48" s="61" t="s">
        <v>185</v>
      </c>
      <c r="B48" s="61"/>
      <c r="C48" s="61"/>
      <c r="D48" s="61"/>
      <c r="E48" s="61"/>
      <c r="F48" s="61"/>
      <c r="G48" s="61"/>
      <c r="H48" s="61"/>
    </row>
    <row r="49" customFormat="false" ht="25.5" hidden="false" customHeight="true" outlineLevel="0" collapsed="false">
      <c r="A49" s="35" t="s">
        <v>186</v>
      </c>
      <c r="B49" s="35"/>
      <c r="C49" s="35"/>
      <c r="D49" s="35"/>
      <c r="E49" s="35"/>
      <c r="F49" s="35"/>
      <c r="G49" s="35"/>
      <c r="H49" s="35"/>
    </row>
    <row r="50" customFormat="false" ht="25.5" hidden="false" customHeight="true" outlineLevel="0" collapsed="false">
      <c r="A50" s="35"/>
      <c r="B50" s="35"/>
      <c r="C50" s="35"/>
      <c r="D50" s="35"/>
      <c r="E50" s="35"/>
      <c r="F50" s="35"/>
      <c r="G50" s="35"/>
      <c r="H50" s="35"/>
    </row>
    <row r="51" customFormat="false" ht="25.5" hidden="false" customHeight="true" outlineLevel="0" collapsed="false">
      <c r="A51" s="35"/>
      <c r="B51" s="35"/>
      <c r="C51" s="35"/>
      <c r="D51" s="35"/>
      <c r="E51" s="35"/>
      <c r="F51" s="35"/>
      <c r="G51" s="35"/>
      <c r="H51" s="35"/>
    </row>
    <row r="52" customFormat="false" ht="25.5" hidden="false" customHeight="true" outlineLevel="0" collapsed="false">
      <c r="A52" s="35"/>
      <c r="B52" s="35"/>
      <c r="C52" s="35"/>
      <c r="D52" s="35"/>
      <c r="E52" s="35"/>
      <c r="F52" s="35"/>
      <c r="G52" s="35"/>
      <c r="H52" s="35"/>
    </row>
    <row r="54" customFormat="false" ht="31.5" hidden="false" customHeight="true" outlineLevel="0" collapsed="false">
      <c r="A54" s="61" t="s">
        <v>187</v>
      </c>
      <c r="B54" s="61"/>
      <c r="C54" s="61"/>
      <c r="D54" s="61"/>
      <c r="E54" s="61"/>
      <c r="F54" s="61"/>
      <c r="G54" s="61"/>
      <c r="H54" s="61"/>
    </row>
    <row r="55" customFormat="false" ht="25.5" hidden="false" customHeight="true" outlineLevel="0" collapsed="false">
      <c r="A55" s="35" t="s">
        <v>188</v>
      </c>
      <c r="B55" s="35"/>
      <c r="C55" s="35"/>
      <c r="D55" s="35"/>
      <c r="E55" s="35"/>
      <c r="F55" s="35"/>
      <c r="G55" s="35"/>
      <c r="H55" s="35"/>
    </row>
    <row r="56" customFormat="false" ht="25.5" hidden="false" customHeight="true" outlineLevel="0" collapsed="false">
      <c r="A56" s="35"/>
      <c r="B56" s="35"/>
      <c r="C56" s="35"/>
      <c r="D56" s="35"/>
      <c r="E56" s="35"/>
      <c r="F56" s="35"/>
      <c r="G56" s="35"/>
      <c r="H56" s="35"/>
    </row>
    <row r="57" customFormat="false" ht="25.5" hidden="false" customHeight="true" outlineLevel="0" collapsed="false">
      <c r="A57" s="35"/>
      <c r="B57" s="35"/>
      <c r="C57" s="35"/>
      <c r="D57" s="35"/>
      <c r="E57" s="35"/>
      <c r="F57" s="35"/>
      <c r="G57" s="35"/>
      <c r="H57" s="35"/>
    </row>
    <row r="59" customFormat="false" ht="31.5" hidden="false" customHeight="true" outlineLevel="0" collapsed="false">
      <c r="A59" s="61" t="s">
        <v>189</v>
      </c>
      <c r="B59" s="61"/>
      <c r="C59" s="61"/>
      <c r="D59" s="61"/>
      <c r="E59" s="61"/>
      <c r="F59" s="61"/>
      <c r="G59" s="61"/>
      <c r="H59" s="61"/>
    </row>
    <row r="60" customFormat="false" ht="27.75" hidden="false" customHeight="true" outlineLevel="0" collapsed="false">
      <c r="A60" s="62" t="s">
        <v>190</v>
      </c>
      <c r="B60" s="62" t="s">
        <v>191</v>
      </c>
      <c r="C60" s="62" t="s">
        <v>12</v>
      </c>
      <c r="D60" s="62" t="s">
        <v>192</v>
      </c>
      <c r="E60" s="62" t="s">
        <v>193</v>
      </c>
      <c r="F60" s="62" t="s">
        <v>194</v>
      </c>
      <c r="G60" s="62" t="s">
        <v>195</v>
      </c>
      <c r="H60" s="62" t="s">
        <v>196</v>
      </c>
    </row>
    <row r="61" customFormat="false" ht="27.75" hidden="false" customHeight="true" outlineLevel="0" collapsed="false">
      <c r="A61" s="10" t="n">
        <v>1</v>
      </c>
      <c r="B61" s="7"/>
      <c r="C61" s="7"/>
      <c r="D61" s="8"/>
      <c r="E61" s="7"/>
      <c r="F61" s="7"/>
      <c r="G61" s="7"/>
      <c r="H61" s="8"/>
    </row>
    <row r="62" customFormat="false" ht="27.75" hidden="false" customHeight="true" outlineLevel="0" collapsed="false">
      <c r="A62" s="10" t="n">
        <v>2</v>
      </c>
      <c r="B62" s="7"/>
      <c r="C62" s="7"/>
      <c r="D62" s="8"/>
      <c r="E62" s="7"/>
      <c r="F62" s="7"/>
      <c r="G62" s="7"/>
      <c r="H62" s="8"/>
    </row>
    <row r="63" customFormat="false" ht="27.75" hidden="false" customHeight="true" outlineLevel="0" collapsed="false">
      <c r="A63" s="10" t="n">
        <v>3</v>
      </c>
      <c r="B63" s="7"/>
      <c r="C63" s="7"/>
      <c r="D63" s="8"/>
      <c r="E63" s="7"/>
      <c r="F63" s="7"/>
      <c r="G63" s="7"/>
      <c r="H63" s="8"/>
    </row>
    <row r="64" customFormat="false" ht="27.75" hidden="false" customHeight="true" outlineLevel="0" collapsed="false">
      <c r="A64" s="10" t="n">
        <v>4</v>
      </c>
      <c r="B64" s="7"/>
      <c r="C64" s="7"/>
      <c r="D64" s="8"/>
      <c r="E64" s="7"/>
      <c r="F64" s="7"/>
      <c r="G64" s="7"/>
      <c r="H64" s="8"/>
    </row>
    <row r="65" customFormat="false" ht="27.75" hidden="false" customHeight="true" outlineLevel="0" collapsed="false">
      <c r="A65" s="10" t="n">
        <v>5</v>
      </c>
      <c r="B65" s="7"/>
      <c r="C65" s="7"/>
      <c r="D65" s="8"/>
      <c r="E65" s="7"/>
      <c r="F65" s="7"/>
      <c r="G65" s="7"/>
      <c r="H65" s="8"/>
    </row>
    <row r="66" customFormat="false" ht="27.75" hidden="false" customHeight="true" outlineLevel="0" collapsed="false">
      <c r="A66" s="10" t="n">
        <v>6</v>
      </c>
      <c r="B66" s="7"/>
      <c r="C66" s="7"/>
      <c r="D66" s="8"/>
      <c r="E66" s="7"/>
      <c r="F66" s="7"/>
      <c r="G66" s="7"/>
      <c r="H66" s="8"/>
    </row>
    <row r="67" customFormat="false" ht="27.75" hidden="false" customHeight="true" outlineLevel="0" collapsed="false">
      <c r="A67" s="10" t="n">
        <v>7</v>
      </c>
      <c r="B67" s="7"/>
      <c r="C67" s="7"/>
      <c r="D67" s="8"/>
      <c r="E67" s="7"/>
      <c r="F67" s="7"/>
      <c r="G67" s="7"/>
      <c r="H67" s="8"/>
    </row>
    <row r="68" customFormat="false" ht="27.75" hidden="false" customHeight="true" outlineLevel="0" collapsed="false">
      <c r="A68" s="10" t="n">
        <v>8</v>
      </c>
      <c r="B68" s="7"/>
      <c r="C68" s="7"/>
      <c r="D68" s="8"/>
      <c r="E68" s="7"/>
      <c r="F68" s="7"/>
      <c r="G68" s="7"/>
      <c r="H68" s="8"/>
    </row>
    <row r="70" customFormat="false" ht="31.5" hidden="false" customHeight="true" outlineLevel="0" collapsed="false">
      <c r="A70" s="61" t="s">
        <v>197</v>
      </c>
      <c r="B70" s="61"/>
      <c r="C70" s="61"/>
      <c r="D70" s="61"/>
      <c r="E70" s="61"/>
      <c r="F70" s="61"/>
      <c r="G70" s="61"/>
      <c r="H70" s="61"/>
    </row>
    <row r="71" customFormat="false" ht="24" hidden="false" customHeight="true" outlineLevel="0" collapsed="false">
      <c r="A71" s="36" t="s">
        <v>198</v>
      </c>
      <c r="B71" s="36"/>
      <c r="C71" s="36" t="s">
        <v>199</v>
      </c>
      <c r="D71" s="36"/>
      <c r="E71" s="36" t="s">
        <v>200</v>
      </c>
      <c r="F71" s="36"/>
      <c r="G71" s="36" t="s">
        <v>201</v>
      </c>
      <c r="H71" s="36"/>
    </row>
    <row r="72" customFormat="false" ht="30" hidden="false" customHeight="true" outlineLevel="0" collapsed="false">
      <c r="A72" s="37" t="s">
        <v>202</v>
      </c>
      <c r="B72" s="37"/>
      <c r="C72" s="38"/>
      <c r="D72" s="38"/>
      <c r="E72" s="38"/>
      <c r="F72" s="38"/>
      <c r="G72" s="39"/>
      <c r="H72" s="39"/>
    </row>
    <row r="73" customFormat="false" ht="30" hidden="false" customHeight="true" outlineLevel="0" collapsed="false">
      <c r="A73" s="37" t="s">
        <v>203</v>
      </c>
      <c r="B73" s="37"/>
      <c r="C73" s="38"/>
      <c r="D73" s="38"/>
      <c r="E73" s="38"/>
      <c r="F73" s="38"/>
      <c r="G73" s="39"/>
      <c r="H73" s="39"/>
    </row>
    <row r="74" customFormat="false" ht="30" hidden="false" customHeight="true" outlineLevel="0" collapsed="false">
      <c r="A74" s="37" t="s">
        <v>204</v>
      </c>
      <c r="B74" s="37"/>
      <c r="C74" s="38"/>
      <c r="D74" s="38"/>
      <c r="E74" s="38"/>
      <c r="F74" s="38"/>
      <c r="G74" s="39"/>
      <c r="H74" s="39"/>
    </row>
    <row r="75" customFormat="false" ht="30" hidden="false" customHeight="true" outlineLevel="0" collapsed="false">
      <c r="A75" s="37" t="s">
        <v>205</v>
      </c>
      <c r="B75" s="37"/>
      <c r="C75" s="38"/>
      <c r="D75" s="38"/>
      <c r="E75" s="38"/>
      <c r="F75" s="38"/>
      <c r="G75" s="39"/>
      <c r="H75"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3:H43"/>
    <mergeCell ref="A46:H46"/>
    <mergeCell ref="A48:H48"/>
    <mergeCell ref="A49:H52"/>
    <mergeCell ref="A54:H54"/>
    <mergeCell ref="A55:H57"/>
    <mergeCell ref="A59:H59"/>
    <mergeCell ref="A70:H70"/>
    <mergeCell ref="A71:B71"/>
    <mergeCell ref="C71:D71"/>
    <mergeCell ref="E71:F71"/>
    <mergeCell ref="G71:H71"/>
    <mergeCell ref="A72:B72"/>
    <mergeCell ref="A73:B73"/>
    <mergeCell ref="A74:B74"/>
    <mergeCell ref="A75:B75"/>
  </mergeCells>
  <conditionalFormatting sqref="E22:E41">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4">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1" type="list">
      <formula1>"0,1,2,N/A"</formula1>
      <formula2>0</formula2>
    </dataValidation>
    <dataValidation allowBlank="true" errorStyle="stop" operator="between" showDropDown="false" showErrorMessage="false" showInputMessage="false" sqref="E61:E68"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4037"/>
    <pageSetUpPr fitToPage="fals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65" t="s">
        <v>723</v>
      </c>
      <c r="B1" s="65"/>
      <c r="C1" s="65"/>
      <c r="D1" s="65"/>
      <c r="E1" s="65"/>
      <c r="F1" s="65"/>
      <c r="G1" s="65"/>
      <c r="H1" s="65"/>
    </row>
    <row r="3" customFormat="false" ht="21.75" hidden="false" customHeight="true" outlineLevel="0" collapsed="false">
      <c r="A3" s="20" t="s">
        <v>68</v>
      </c>
      <c r="B3" s="21" t="s">
        <v>52</v>
      </c>
      <c r="C3" s="21"/>
      <c r="D3" s="21"/>
      <c r="E3" s="21"/>
      <c r="F3" s="21"/>
      <c r="G3" s="21"/>
      <c r="H3" s="21"/>
    </row>
    <row r="4" customFormat="false" ht="21.75" hidden="false" customHeight="true" outlineLevel="0" collapsed="false">
      <c r="A4" s="20" t="s">
        <v>69</v>
      </c>
      <c r="B4" s="21" t="s">
        <v>53</v>
      </c>
      <c r="C4" s="21"/>
      <c r="D4" s="21"/>
      <c r="E4" s="21"/>
      <c r="F4" s="21"/>
      <c r="G4" s="21"/>
      <c r="H4" s="21"/>
    </row>
    <row r="5" customFormat="false" ht="21.75" hidden="false" customHeight="true" outlineLevel="0" collapsed="false">
      <c r="A5" s="20" t="s">
        <v>11</v>
      </c>
      <c r="B5" s="21" t="s">
        <v>54</v>
      </c>
      <c r="C5" s="21"/>
      <c r="D5" s="21"/>
      <c r="E5" s="21"/>
      <c r="F5" s="21"/>
      <c r="G5" s="21"/>
      <c r="H5" s="21"/>
    </row>
    <row r="6" customFormat="false" ht="21.75" hidden="false" customHeight="true" outlineLevel="0" collapsed="false">
      <c r="A6" s="20" t="s">
        <v>12</v>
      </c>
      <c r="B6" s="21" t="s">
        <v>55</v>
      </c>
      <c r="C6" s="21"/>
      <c r="D6" s="21"/>
      <c r="E6" s="21"/>
      <c r="F6" s="21"/>
      <c r="G6" s="21"/>
      <c r="H6" s="21"/>
    </row>
    <row r="7" customFormat="false" ht="21.75" hidden="false" customHeight="true" outlineLevel="0" collapsed="false">
      <c r="A7" s="20" t="s">
        <v>13</v>
      </c>
      <c r="B7" s="21" t="s">
        <v>56</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66" t="s">
        <v>76</v>
      </c>
      <c r="B12" s="66"/>
      <c r="C12" s="66"/>
      <c r="D12" s="66"/>
      <c r="E12" s="66"/>
      <c r="F12" s="66"/>
      <c r="G12" s="66"/>
      <c r="H12" s="66"/>
    </row>
    <row r="13" customFormat="false" ht="39.75" hidden="false" customHeight="true" outlineLevel="0" collapsed="false">
      <c r="A13" s="24" t="s">
        <v>77</v>
      </c>
      <c r="B13" s="25" t="s">
        <v>724</v>
      </c>
      <c r="C13" s="25"/>
      <c r="D13" s="25"/>
      <c r="E13" s="25"/>
      <c r="F13" s="25"/>
      <c r="G13" s="25"/>
      <c r="H13" s="25"/>
    </row>
    <row r="14" customFormat="false" ht="69.75" hidden="false" customHeight="true" outlineLevel="0" collapsed="false">
      <c r="A14" s="24" t="s">
        <v>79</v>
      </c>
      <c r="B14" s="25" t="s">
        <v>725</v>
      </c>
      <c r="C14" s="25"/>
      <c r="D14" s="25"/>
      <c r="E14" s="25"/>
      <c r="F14" s="25"/>
      <c r="G14" s="25"/>
      <c r="H14" s="25"/>
    </row>
    <row r="15" customFormat="false" ht="145.5" hidden="false" customHeight="true" outlineLevel="0" collapsed="false">
      <c r="A15" s="24" t="s">
        <v>81</v>
      </c>
      <c r="B15" s="25" t="s">
        <v>726</v>
      </c>
      <c r="C15" s="25"/>
      <c r="D15" s="25"/>
      <c r="E15" s="25"/>
      <c r="F15" s="25"/>
      <c r="G15" s="25"/>
      <c r="H15" s="25"/>
    </row>
    <row r="17" customFormat="false" ht="31.5" hidden="false" customHeight="true" outlineLevel="0" collapsed="false">
      <c r="A17" s="66" t="s">
        <v>83</v>
      </c>
      <c r="B17" s="66"/>
      <c r="C17" s="66"/>
      <c r="D17" s="66"/>
      <c r="E17" s="66"/>
      <c r="F17" s="66"/>
      <c r="G17" s="66"/>
      <c r="H17" s="66"/>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66" t="s">
        <v>85</v>
      </c>
      <c r="B20" s="66"/>
      <c r="C20" s="66"/>
      <c r="D20" s="66"/>
      <c r="E20" s="66"/>
      <c r="F20" s="66"/>
      <c r="G20" s="66"/>
      <c r="H20" s="66"/>
    </row>
    <row r="21" customFormat="false" ht="36" hidden="false" customHeight="true" outlineLevel="0" collapsed="false">
      <c r="A21" s="67" t="s">
        <v>86</v>
      </c>
      <c r="B21" s="67" t="s">
        <v>87</v>
      </c>
      <c r="C21" s="67" t="s">
        <v>88</v>
      </c>
      <c r="D21" s="67" t="s">
        <v>89</v>
      </c>
      <c r="E21" s="67" t="s">
        <v>90</v>
      </c>
      <c r="F21" s="67" t="s">
        <v>91</v>
      </c>
      <c r="G21" s="67" t="s">
        <v>92</v>
      </c>
      <c r="H21" s="67" t="s">
        <v>93</v>
      </c>
    </row>
    <row r="22" customFormat="false" ht="42" hidden="false" customHeight="true" outlineLevel="0" collapsed="false">
      <c r="A22" s="68" t="s">
        <v>727</v>
      </c>
      <c r="B22" s="7" t="s">
        <v>728</v>
      </c>
      <c r="C22" s="29" t="s">
        <v>729</v>
      </c>
      <c r="D22" s="10" t="n">
        <v>5</v>
      </c>
      <c r="E22" s="29"/>
      <c r="F22" s="29" t="str">
        <f aca="false">IF(E22="","",IF(UPPER(E22)="N/A","N/A",D22*E22))</f>
        <v/>
      </c>
      <c r="G22" s="30" t="s">
        <v>730</v>
      </c>
      <c r="H22" s="7"/>
    </row>
    <row r="23" customFormat="false" ht="42" hidden="false" customHeight="true" outlineLevel="0" collapsed="false">
      <c r="A23" s="68" t="s">
        <v>731</v>
      </c>
      <c r="B23" s="7" t="s">
        <v>732</v>
      </c>
      <c r="C23" s="29" t="s">
        <v>733</v>
      </c>
      <c r="D23" s="10" t="n">
        <v>4</v>
      </c>
      <c r="E23" s="29"/>
      <c r="F23" s="29" t="str">
        <f aca="false">IF(E23="","",IF(UPPER(E23)="N/A","N/A",D23*E23))</f>
        <v/>
      </c>
      <c r="G23" s="30" t="s">
        <v>734</v>
      </c>
      <c r="H23" s="7"/>
    </row>
    <row r="24" customFormat="false" ht="39.75" hidden="false" customHeight="true" outlineLevel="0" collapsed="false">
      <c r="A24" s="68" t="s">
        <v>735</v>
      </c>
      <c r="B24" s="7" t="s">
        <v>736</v>
      </c>
      <c r="C24" s="29" t="s">
        <v>737</v>
      </c>
      <c r="D24" s="10" t="n">
        <v>4</v>
      </c>
      <c r="E24" s="29"/>
      <c r="F24" s="29" t="str">
        <f aca="false">IF(E24="","",IF(UPPER(E24)="N/A","N/A",D24*E24))</f>
        <v/>
      </c>
      <c r="G24" s="30" t="s">
        <v>738</v>
      </c>
      <c r="H24" s="7"/>
    </row>
    <row r="25" customFormat="false" ht="42" hidden="false" customHeight="true" outlineLevel="0" collapsed="false">
      <c r="A25" s="68" t="s">
        <v>739</v>
      </c>
      <c r="B25" s="7" t="s">
        <v>740</v>
      </c>
      <c r="C25" s="29" t="s">
        <v>741</v>
      </c>
      <c r="D25" s="10" t="n">
        <v>5</v>
      </c>
      <c r="E25" s="29"/>
      <c r="F25" s="29" t="str">
        <f aca="false">IF(E25="","",IF(UPPER(E25)="N/A","N/A",D25*E25))</f>
        <v/>
      </c>
      <c r="G25" s="30" t="s">
        <v>742</v>
      </c>
      <c r="H25" s="7"/>
    </row>
    <row r="26" customFormat="false" ht="39.75" hidden="false" customHeight="true" outlineLevel="0" collapsed="false">
      <c r="A26" s="68" t="s">
        <v>743</v>
      </c>
      <c r="B26" s="7" t="s">
        <v>744</v>
      </c>
      <c r="C26" s="29" t="s">
        <v>745</v>
      </c>
      <c r="D26" s="10" t="n">
        <v>4</v>
      </c>
      <c r="E26" s="29"/>
      <c r="F26" s="29" t="str">
        <f aca="false">IF(E26="","",IF(UPPER(E26)="N/A","N/A",D26*E26))</f>
        <v/>
      </c>
      <c r="G26" s="30" t="s">
        <v>746</v>
      </c>
      <c r="H26" s="7"/>
    </row>
    <row r="27" customFormat="false" ht="39.75" hidden="false" customHeight="true" outlineLevel="0" collapsed="false">
      <c r="A27" s="68" t="s">
        <v>747</v>
      </c>
      <c r="B27" s="7" t="s">
        <v>748</v>
      </c>
      <c r="C27" s="29" t="s">
        <v>749</v>
      </c>
      <c r="D27" s="10" t="n">
        <v>5</v>
      </c>
      <c r="E27" s="29"/>
      <c r="F27" s="29" t="str">
        <f aca="false">IF(E27="","",IF(UPPER(E27)="N/A","N/A",D27*E27))</f>
        <v/>
      </c>
      <c r="G27" s="30" t="s">
        <v>750</v>
      </c>
      <c r="H27" s="7"/>
    </row>
    <row r="28" customFormat="false" ht="39.75" hidden="false" customHeight="true" outlineLevel="0" collapsed="false">
      <c r="A28" s="68" t="s">
        <v>751</v>
      </c>
      <c r="B28" s="7" t="s">
        <v>752</v>
      </c>
      <c r="C28" s="29" t="s">
        <v>753</v>
      </c>
      <c r="D28" s="10" t="n">
        <v>4</v>
      </c>
      <c r="E28" s="29"/>
      <c r="F28" s="29" t="str">
        <f aca="false">IF(E28="","",IF(UPPER(E28)="N/A","N/A",D28*E28))</f>
        <v/>
      </c>
      <c r="G28" s="30" t="s">
        <v>754</v>
      </c>
      <c r="H28" s="7"/>
    </row>
    <row r="29" customFormat="false" ht="39.75" hidden="false" customHeight="true" outlineLevel="0" collapsed="false">
      <c r="A29" s="68" t="s">
        <v>755</v>
      </c>
      <c r="B29" s="7" t="s">
        <v>756</v>
      </c>
      <c r="C29" s="29" t="s">
        <v>757</v>
      </c>
      <c r="D29" s="10" t="n">
        <v>4</v>
      </c>
      <c r="E29" s="29"/>
      <c r="F29" s="29" t="str">
        <f aca="false">IF(E29="","",IF(UPPER(E29)="N/A","N/A",D29*E29))</f>
        <v/>
      </c>
      <c r="G29" s="30" t="s">
        <v>758</v>
      </c>
      <c r="H29" s="7"/>
    </row>
    <row r="30" customFormat="false" ht="39.75" hidden="false" customHeight="true" outlineLevel="0" collapsed="false">
      <c r="A30" s="68" t="s">
        <v>759</v>
      </c>
      <c r="B30" s="7" t="s">
        <v>760</v>
      </c>
      <c r="C30" s="29" t="s">
        <v>761</v>
      </c>
      <c r="D30" s="10" t="n">
        <v>5</v>
      </c>
      <c r="E30" s="29"/>
      <c r="F30" s="29" t="str">
        <f aca="false">IF(E30="","",IF(UPPER(E30)="N/A","N/A",D30*E30))</f>
        <v/>
      </c>
      <c r="G30" s="30" t="s">
        <v>762</v>
      </c>
      <c r="H30" s="7"/>
    </row>
    <row r="31" customFormat="false" ht="39.75" hidden="false" customHeight="true" outlineLevel="0" collapsed="false">
      <c r="A31" s="68" t="s">
        <v>763</v>
      </c>
      <c r="B31" s="7" t="s">
        <v>764</v>
      </c>
      <c r="C31" s="29" t="s">
        <v>765</v>
      </c>
      <c r="D31" s="10" t="n">
        <v>3</v>
      </c>
      <c r="E31" s="29"/>
      <c r="F31" s="29" t="str">
        <f aca="false">IF(E31="","",IF(UPPER(E31)="N/A","N/A",D31*E31))</f>
        <v/>
      </c>
      <c r="G31" s="30" t="s">
        <v>766</v>
      </c>
      <c r="H31" s="7"/>
    </row>
    <row r="32" customFormat="false" ht="39.75" hidden="false" customHeight="true" outlineLevel="0" collapsed="false">
      <c r="A32" s="68" t="s">
        <v>767</v>
      </c>
      <c r="B32" s="7" t="s">
        <v>768</v>
      </c>
      <c r="C32" s="29" t="s">
        <v>769</v>
      </c>
      <c r="D32" s="10" t="n">
        <v>2</v>
      </c>
      <c r="E32" s="29"/>
      <c r="F32" s="29" t="str">
        <f aca="false">IF(E32="","",IF(UPPER(E32)="N/A","N/A",D32*E32))</f>
        <v/>
      </c>
      <c r="G32" s="30" t="s">
        <v>770</v>
      </c>
      <c r="H32" s="7"/>
    </row>
    <row r="33" customFormat="false" ht="39.75" hidden="false" customHeight="true" outlineLevel="0" collapsed="false">
      <c r="A33" s="68" t="s">
        <v>771</v>
      </c>
      <c r="B33" s="7" t="s">
        <v>772</v>
      </c>
      <c r="C33" s="29" t="s">
        <v>773</v>
      </c>
      <c r="D33" s="10" t="n">
        <v>2</v>
      </c>
      <c r="E33" s="29"/>
      <c r="F33" s="29" t="str">
        <f aca="false">IF(E33="","",IF(UPPER(E33)="N/A","N/A",D33*E33))</f>
        <v/>
      </c>
      <c r="G33" s="30" t="s">
        <v>774</v>
      </c>
      <c r="H33" s="7"/>
    </row>
    <row r="34" customFormat="false" ht="39.75" hidden="false" customHeight="true" outlineLevel="0" collapsed="false">
      <c r="A34" s="68" t="s">
        <v>775</v>
      </c>
      <c r="B34" s="7" t="s">
        <v>776</v>
      </c>
      <c r="C34" s="29" t="s">
        <v>777</v>
      </c>
      <c r="D34" s="10" t="n">
        <v>4</v>
      </c>
      <c r="E34" s="29"/>
      <c r="F34" s="29" t="str">
        <f aca="false">IF(E34="","",IF(UPPER(E34)="N/A","N/A",D34*E34))</f>
        <v/>
      </c>
      <c r="G34" s="30" t="s">
        <v>778</v>
      </c>
      <c r="H34" s="7"/>
    </row>
    <row r="35" customFormat="false" ht="39.75" hidden="false" customHeight="true" outlineLevel="0" collapsed="false">
      <c r="A35" s="68" t="s">
        <v>779</v>
      </c>
      <c r="B35" s="7" t="s">
        <v>780</v>
      </c>
      <c r="C35" s="29" t="s">
        <v>781</v>
      </c>
      <c r="D35" s="10" t="n">
        <v>4</v>
      </c>
      <c r="E35" s="29"/>
      <c r="F35" s="29" t="str">
        <f aca="false">IF(E35="","",IF(UPPER(E35)="N/A","N/A",D35*E35))</f>
        <v/>
      </c>
      <c r="G35" s="30" t="s">
        <v>782</v>
      </c>
      <c r="H35" s="7"/>
    </row>
    <row r="36" customFormat="false" ht="39.75" hidden="false" customHeight="true" outlineLevel="0" collapsed="false">
      <c r="A36" s="68" t="s">
        <v>783</v>
      </c>
      <c r="B36" s="7" t="s">
        <v>784</v>
      </c>
      <c r="C36" s="29" t="s">
        <v>781</v>
      </c>
      <c r="D36" s="10" t="n">
        <v>2</v>
      </c>
      <c r="E36" s="29"/>
      <c r="F36" s="29" t="str">
        <f aca="false">IF(E36="","",IF(UPPER(E36)="N/A","N/A",D36*E36))</f>
        <v/>
      </c>
      <c r="G36" s="30" t="s">
        <v>785</v>
      </c>
      <c r="H36" s="7"/>
    </row>
    <row r="37" customFormat="false" ht="39.75" hidden="false" customHeight="true" outlineLevel="0" collapsed="false">
      <c r="A37" s="68" t="s">
        <v>786</v>
      </c>
      <c r="B37" s="7" t="s">
        <v>787</v>
      </c>
      <c r="C37" s="29" t="s">
        <v>781</v>
      </c>
      <c r="D37" s="10" t="n">
        <v>2</v>
      </c>
      <c r="E37" s="29"/>
      <c r="F37" s="29" t="str">
        <f aca="false">IF(E37="","",IF(UPPER(E37)="N/A","N/A",D37*E37))</f>
        <v/>
      </c>
      <c r="G37" s="30" t="s">
        <v>788</v>
      </c>
      <c r="H37" s="7"/>
    </row>
    <row r="38" customFormat="false" ht="39.75" hidden="false" customHeight="true" outlineLevel="0" collapsed="false">
      <c r="A38" s="68" t="s">
        <v>789</v>
      </c>
      <c r="B38" s="7" t="s">
        <v>790</v>
      </c>
      <c r="C38" s="29" t="s">
        <v>791</v>
      </c>
      <c r="D38" s="10" t="n">
        <v>3</v>
      </c>
      <c r="E38" s="29"/>
      <c r="F38" s="29" t="str">
        <f aca="false">IF(E38="","",IF(UPPER(E38)="N/A","N/A",D38*E38))</f>
        <v/>
      </c>
      <c r="G38" s="30" t="s">
        <v>792</v>
      </c>
      <c r="H38" s="7"/>
    </row>
    <row r="39" customFormat="false" ht="39.75" hidden="false" customHeight="true" outlineLevel="0" collapsed="false">
      <c r="A39" s="68" t="s">
        <v>793</v>
      </c>
      <c r="B39" s="7" t="s">
        <v>794</v>
      </c>
      <c r="C39" s="29" t="s">
        <v>795</v>
      </c>
      <c r="D39" s="10" t="n">
        <v>4</v>
      </c>
      <c r="E39" s="29"/>
      <c r="F39" s="29" t="str">
        <f aca="false">IF(E39="","",IF(UPPER(E39)="N/A","N/A",D39*E39))</f>
        <v/>
      </c>
      <c r="G39" s="30" t="s">
        <v>796</v>
      </c>
      <c r="H39" s="7"/>
    </row>
    <row r="40" customFormat="false" ht="39.75" hidden="false" customHeight="true" outlineLevel="0" collapsed="false">
      <c r="A40" s="68" t="s">
        <v>797</v>
      </c>
      <c r="B40" s="7" t="s">
        <v>798</v>
      </c>
      <c r="C40" s="29" t="s">
        <v>799</v>
      </c>
      <c r="D40" s="10" t="n">
        <v>3</v>
      </c>
      <c r="E40" s="29"/>
      <c r="F40" s="29" t="str">
        <f aca="false">IF(E40="","",IF(UPPER(E40)="N/A","N/A",D40*E40))</f>
        <v/>
      </c>
      <c r="G40" s="30" t="s">
        <v>800</v>
      </c>
      <c r="H40" s="7"/>
    </row>
    <row r="41" customFormat="false" ht="39.75" hidden="false" customHeight="true" outlineLevel="0" collapsed="false">
      <c r="A41" s="68" t="s">
        <v>801</v>
      </c>
      <c r="B41" s="7" t="s">
        <v>802</v>
      </c>
      <c r="C41" s="29" t="s">
        <v>803</v>
      </c>
      <c r="D41" s="10" t="n">
        <v>3</v>
      </c>
      <c r="E41" s="29"/>
      <c r="F41" s="29" t="str">
        <f aca="false">IF(E41="","",IF(UPPER(E41)="N/A","N/A",D41*E41))</f>
        <v/>
      </c>
      <c r="G41" s="30" t="s">
        <v>804</v>
      </c>
      <c r="H41" s="7"/>
    </row>
    <row r="42" customFormat="false" ht="39.75" hidden="false" customHeight="true" outlineLevel="0" collapsed="false">
      <c r="A42" s="68" t="s">
        <v>805</v>
      </c>
      <c r="B42" s="7" t="s">
        <v>806</v>
      </c>
      <c r="C42" s="29" t="s">
        <v>807</v>
      </c>
      <c r="D42" s="10" t="n">
        <v>3</v>
      </c>
      <c r="E42" s="29"/>
      <c r="F42" s="29" t="str">
        <f aca="false">IF(E42="","",IF(UPPER(E42)="N/A","N/A",D42*E42))</f>
        <v/>
      </c>
      <c r="G42" s="30" t="s">
        <v>808</v>
      </c>
      <c r="H42" s="7"/>
    </row>
    <row r="43" customFormat="false" ht="39.75" hidden="false" customHeight="true" outlineLevel="0" collapsed="false">
      <c r="A43" s="68" t="s">
        <v>809</v>
      </c>
      <c r="B43" s="7" t="s">
        <v>810</v>
      </c>
      <c r="C43" s="29" t="s">
        <v>811</v>
      </c>
      <c r="D43" s="10" t="n">
        <v>2</v>
      </c>
      <c r="E43" s="29"/>
      <c r="F43" s="29" t="str">
        <f aca="false">IF(E43="","",IF(UPPER(E43)="N/A","N/A",D43*E43))</f>
        <v/>
      </c>
      <c r="G43" s="30" t="s">
        <v>812</v>
      </c>
      <c r="H43" s="7"/>
    </row>
    <row r="45" customFormat="false" ht="31.5" hidden="false" customHeight="true" outlineLevel="0" collapsed="false">
      <c r="A45" s="66" t="s">
        <v>181</v>
      </c>
      <c r="B45" s="66"/>
      <c r="C45" s="66"/>
      <c r="D45" s="66"/>
      <c r="E45" s="66"/>
      <c r="F45" s="66"/>
      <c r="G45" s="66"/>
      <c r="H45" s="66"/>
    </row>
    <row r="46" customFormat="false" ht="36" hidden="false" customHeight="true" outlineLevel="0" collapsed="false">
      <c r="A46" s="20" t="s">
        <v>182</v>
      </c>
      <c r="B46" s="31" t="n">
        <f aca="false">SUMPRODUCT(IFERROR((F22:F43+0),0))</f>
        <v>0</v>
      </c>
      <c r="C46" s="20" t="s">
        <v>183</v>
      </c>
      <c r="D46" s="31" t="n">
        <f aca="false">SUMPRODUCT((F22:F43&lt;&gt;"N/A")*(F22:F43&lt;&gt;"")*(D22:D43*2))</f>
        <v>0</v>
      </c>
      <c r="E46" s="20" t="s">
        <v>15</v>
      </c>
      <c r="F46" s="69" t="str">
        <f aca="false">IFERROR(B46/D46,"")</f>
        <v/>
      </c>
      <c r="G46" s="20" t="s">
        <v>16</v>
      </c>
      <c r="H46" s="33" t="str">
        <f aca="false">IFERROR(IF(F46="","",IF(F46&gt;=0.95,"Compliant",IF(F46&gt;=0.85,"Substantially compliant",IF(F46&gt;=0.7,"Partially compliant","Non-compliant")))),"")</f>
        <v/>
      </c>
    </row>
    <row r="48" customFormat="false" ht="15" hidden="false" customHeight="false" outlineLevel="0" collapsed="false">
      <c r="A48" s="34" t="s">
        <v>184</v>
      </c>
      <c r="B48" s="34"/>
      <c r="C48" s="34"/>
      <c r="D48" s="34"/>
      <c r="E48" s="34"/>
      <c r="F48" s="34"/>
      <c r="G48" s="34"/>
      <c r="H48" s="34"/>
    </row>
    <row r="50" customFormat="false" ht="31.5" hidden="false" customHeight="true" outlineLevel="0" collapsed="false">
      <c r="A50" s="66" t="s">
        <v>185</v>
      </c>
      <c r="B50" s="66"/>
      <c r="C50" s="66"/>
      <c r="D50" s="66"/>
      <c r="E50" s="66"/>
      <c r="F50" s="66"/>
      <c r="G50" s="66"/>
      <c r="H50" s="66"/>
    </row>
    <row r="51" customFormat="false" ht="25.5" hidden="false" customHeight="true" outlineLevel="0" collapsed="false">
      <c r="A51" s="35" t="s">
        <v>186</v>
      </c>
      <c r="B51" s="35"/>
      <c r="C51" s="35"/>
      <c r="D51" s="35"/>
      <c r="E51" s="35"/>
      <c r="F51" s="35"/>
      <c r="G51" s="35"/>
      <c r="H51" s="35"/>
    </row>
    <row r="52" customFormat="false" ht="25.5" hidden="false" customHeight="true" outlineLevel="0" collapsed="false">
      <c r="A52" s="35"/>
      <c r="B52" s="35"/>
      <c r="C52" s="35"/>
      <c r="D52" s="35"/>
      <c r="E52" s="35"/>
      <c r="F52" s="35"/>
      <c r="G52" s="35"/>
      <c r="H52" s="35"/>
    </row>
    <row r="53" customFormat="false" ht="25.5" hidden="false" customHeight="true" outlineLevel="0" collapsed="false">
      <c r="A53" s="35"/>
      <c r="B53" s="35"/>
      <c r="C53" s="35"/>
      <c r="D53" s="35"/>
      <c r="E53" s="35"/>
      <c r="F53" s="35"/>
      <c r="G53" s="35"/>
      <c r="H53" s="35"/>
    </row>
    <row r="54" customFormat="false" ht="25.5" hidden="false" customHeight="true" outlineLevel="0" collapsed="false">
      <c r="A54" s="35"/>
      <c r="B54" s="35"/>
      <c r="C54" s="35"/>
      <c r="D54" s="35"/>
      <c r="E54" s="35"/>
      <c r="F54" s="35"/>
      <c r="G54" s="35"/>
      <c r="H54" s="35"/>
    </row>
    <row r="56" customFormat="false" ht="31.5" hidden="false" customHeight="true" outlineLevel="0" collapsed="false">
      <c r="A56" s="66" t="s">
        <v>187</v>
      </c>
      <c r="B56" s="66"/>
      <c r="C56" s="66"/>
      <c r="D56" s="66"/>
      <c r="E56" s="66"/>
      <c r="F56" s="66"/>
      <c r="G56" s="66"/>
      <c r="H56" s="66"/>
    </row>
    <row r="57" customFormat="false" ht="25.5" hidden="false" customHeight="true" outlineLevel="0" collapsed="false">
      <c r="A57" s="35" t="s">
        <v>188</v>
      </c>
      <c r="B57" s="35"/>
      <c r="C57" s="35"/>
      <c r="D57" s="35"/>
      <c r="E57" s="35"/>
      <c r="F57" s="35"/>
      <c r="G57" s="35"/>
      <c r="H57" s="35"/>
    </row>
    <row r="58" customFormat="false" ht="25.5" hidden="false" customHeight="true" outlineLevel="0" collapsed="false">
      <c r="A58" s="35"/>
      <c r="B58" s="35"/>
      <c r="C58" s="35"/>
      <c r="D58" s="35"/>
      <c r="E58" s="35"/>
      <c r="F58" s="35"/>
      <c r="G58" s="35"/>
      <c r="H58" s="35"/>
    </row>
    <row r="59" customFormat="false" ht="25.5" hidden="false" customHeight="true" outlineLevel="0" collapsed="false">
      <c r="A59" s="35"/>
      <c r="B59" s="35"/>
      <c r="C59" s="35"/>
      <c r="D59" s="35"/>
      <c r="E59" s="35"/>
      <c r="F59" s="35"/>
      <c r="G59" s="35"/>
      <c r="H59" s="35"/>
    </row>
    <row r="61" customFormat="false" ht="31.5" hidden="false" customHeight="true" outlineLevel="0" collapsed="false">
      <c r="A61" s="66" t="s">
        <v>189</v>
      </c>
      <c r="B61" s="66"/>
      <c r="C61" s="66"/>
      <c r="D61" s="66"/>
      <c r="E61" s="66"/>
      <c r="F61" s="66"/>
      <c r="G61" s="66"/>
      <c r="H61" s="66"/>
    </row>
    <row r="62" customFormat="false" ht="27.75" hidden="false" customHeight="true" outlineLevel="0" collapsed="false">
      <c r="A62" s="67" t="s">
        <v>190</v>
      </c>
      <c r="B62" s="67" t="s">
        <v>191</v>
      </c>
      <c r="C62" s="67" t="s">
        <v>12</v>
      </c>
      <c r="D62" s="67" t="s">
        <v>192</v>
      </c>
      <c r="E62" s="67" t="s">
        <v>193</v>
      </c>
      <c r="F62" s="67" t="s">
        <v>194</v>
      </c>
      <c r="G62" s="67" t="s">
        <v>195</v>
      </c>
      <c r="H62" s="67" t="s">
        <v>196</v>
      </c>
    </row>
    <row r="63" customFormat="false" ht="27.75" hidden="false" customHeight="true" outlineLevel="0" collapsed="false">
      <c r="A63" s="10" t="n">
        <v>1</v>
      </c>
      <c r="B63" s="7"/>
      <c r="C63" s="7"/>
      <c r="D63" s="8"/>
      <c r="E63" s="7"/>
      <c r="F63" s="7"/>
      <c r="G63" s="7"/>
      <c r="H63" s="8"/>
    </row>
    <row r="64" customFormat="false" ht="27.75" hidden="false" customHeight="true" outlineLevel="0" collapsed="false">
      <c r="A64" s="10" t="n">
        <v>2</v>
      </c>
      <c r="B64" s="7"/>
      <c r="C64" s="7"/>
      <c r="D64" s="8"/>
      <c r="E64" s="7"/>
      <c r="F64" s="7"/>
      <c r="G64" s="7"/>
      <c r="H64" s="8"/>
    </row>
    <row r="65" customFormat="false" ht="27.75" hidden="false" customHeight="true" outlineLevel="0" collapsed="false">
      <c r="A65" s="10" t="n">
        <v>3</v>
      </c>
      <c r="B65" s="7"/>
      <c r="C65" s="7"/>
      <c r="D65" s="8"/>
      <c r="E65" s="7"/>
      <c r="F65" s="7"/>
      <c r="G65" s="7"/>
      <c r="H65" s="8"/>
    </row>
    <row r="66" customFormat="false" ht="27.75" hidden="false" customHeight="true" outlineLevel="0" collapsed="false">
      <c r="A66" s="10" t="n">
        <v>4</v>
      </c>
      <c r="B66" s="7"/>
      <c r="C66" s="7"/>
      <c r="D66" s="8"/>
      <c r="E66" s="7"/>
      <c r="F66" s="7"/>
      <c r="G66" s="7"/>
      <c r="H66" s="8"/>
    </row>
    <row r="67" customFormat="false" ht="27.75" hidden="false" customHeight="true" outlineLevel="0" collapsed="false">
      <c r="A67" s="10" t="n">
        <v>5</v>
      </c>
      <c r="B67" s="7"/>
      <c r="C67" s="7"/>
      <c r="D67" s="8"/>
      <c r="E67" s="7"/>
      <c r="F67" s="7"/>
      <c r="G67" s="7"/>
      <c r="H67" s="8"/>
    </row>
    <row r="68" customFormat="false" ht="27.75" hidden="false" customHeight="true" outlineLevel="0" collapsed="false">
      <c r="A68" s="10" t="n">
        <v>6</v>
      </c>
      <c r="B68" s="7"/>
      <c r="C68" s="7"/>
      <c r="D68" s="8"/>
      <c r="E68" s="7"/>
      <c r="F68" s="7"/>
      <c r="G68" s="7"/>
      <c r="H68" s="8"/>
    </row>
    <row r="69" customFormat="false" ht="27.75" hidden="false" customHeight="true" outlineLevel="0" collapsed="false">
      <c r="A69" s="10" t="n">
        <v>7</v>
      </c>
      <c r="B69" s="7"/>
      <c r="C69" s="7"/>
      <c r="D69" s="8"/>
      <c r="E69" s="7"/>
      <c r="F69" s="7"/>
      <c r="G69" s="7"/>
      <c r="H69" s="8"/>
    </row>
    <row r="70" customFormat="false" ht="27.75" hidden="false" customHeight="true" outlineLevel="0" collapsed="false">
      <c r="A70" s="10" t="n">
        <v>8</v>
      </c>
      <c r="B70" s="7"/>
      <c r="C70" s="7"/>
      <c r="D70" s="8"/>
      <c r="E70" s="7"/>
      <c r="F70" s="7"/>
      <c r="G70" s="7"/>
      <c r="H70" s="8"/>
    </row>
    <row r="72" customFormat="false" ht="31.5" hidden="false" customHeight="true" outlineLevel="0" collapsed="false">
      <c r="A72" s="66" t="s">
        <v>197</v>
      </c>
      <c r="B72" s="66"/>
      <c r="C72" s="66"/>
      <c r="D72" s="66"/>
      <c r="E72" s="66"/>
      <c r="F72" s="66"/>
      <c r="G72" s="66"/>
      <c r="H72" s="66"/>
    </row>
    <row r="73" customFormat="false" ht="24" hidden="false" customHeight="true" outlineLevel="0" collapsed="false">
      <c r="A73" s="36" t="s">
        <v>198</v>
      </c>
      <c r="B73" s="36"/>
      <c r="C73" s="36" t="s">
        <v>199</v>
      </c>
      <c r="D73" s="36"/>
      <c r="E73" s="36" t="s">
        <v>200</v>
      </c>
      <c r="F73" s="36"/>
      <c r="G73" s="36" t="s">
        <v>201</v>
      </c>
      <c r="H73" s="36"/>
    </row>
    <row r="74" customFormat="false" ht="30" hidden="false" customHeight="true" outlineLevel="0" collapsed="false">
      <c r="A74" s="37" t="s">
        <v>202</v>
      </c>
      <c r="B74" s="37"/>
      <c r="C74" s="38"/>
      <c r="D74" s="38"/>
      <c r="E74" s="38"/>
      <c r="F74" s="38"/>
      <c r="G74" s="39"/>
      <c r="H74" s="39"/>
    </row>
    <row r="75" customFormat="false" ht="30" hidden="false" customHeight="true" outlineLevel="0" collapsed="false">
      <c r="A75" s="37" t="s">
        <v>203</v>
      </c>
      <c r="B75" s="37"/>
      <c r="C75" s="38"/>
      <c r="D75" s="38"/>
      <c r="E75" s="38"/>
      <c r="F75" s="38"/>
      <c r="G75" s="39"/>
      <c r="H75" s="39"/>
    </row>
    <row r="76" customFormat="false" ht="30" hidden="false" customHeight="true" outlineLevel="0" collapsed="false">
      <c r="A76" s="37" t="s">
        <v>204</v>
      </c>
      <c r="B76" s="37"/>
      <c r="C76" s="38"/>
      <c r="D76" s="38"/>
      <c r="E76" s="38"/>
      <c r="F76" s="38"/>
      <c r="G76" s="39"/>
      <c r="H76" s="39"/>
    </row>
    <row r="77" customFormat="false" ht="30" hidden="false" customHeight="true" outlineLevel="0" collapsed="false">
      <c r="A77" s="37" t="s">
        <v>205</v>
      </c>
      <c r="B77" s="37"/>
      <c r="C77" s="38"/>
      <c r="D77" s="38"/>
      <c r="E77" s="38"/>
      <c r="F77" s="38"/>
      <c r="G77" s="39"/>
      <c r="H77"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5:H45"/>
    <mergeCell ref="A48:H48"/>
    <mergeCell ref="A50:H50"/>
    <mergeCell ref="A51:H54"/>
    <mergeCell ref="A56:H56"/>
    <mergeCell ref="A57:H59"/>
    <mergeCell ref="A61:H61"/>
    <mergeCell ref="A72:H72"/>
    <mergeCell ref="A73:B73"/>
    <mergeCell ref="C73:D73"/>
    <mergeCell ref="E73:F73"/>
    <mergeCell ref="G73:H73"/>
    <mergeCell ref="A74:B74"/>
    <mergeCell ref="A75:B75"/>
    <mergeCell ref="A76:B76"/>
    <mergeCell ref="A77:B77"/>
  </mergeCells>
  <conditionalFormatting sqref="E22:E43">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6">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3" type="list">
      <formula1>"0,1,2,N/A"</formula1>
      <formula2>0</formula2>
    </dataValidation>
    <dataValidation allowBlank="true" errorStyle="stop" operator="between" showDropDown="false" showErrorMessage="false" showInputMessage="false" sqref="E63:E70"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70" t="s">
        <v>813</v>
      </c>
      <c r="B1" s="70"/>
      <c r="C1" s="70"/>
      <c r="D1" s="70"/>
      <c r="E1" s="70"/>
      <c r="F1" s="70"/>
      <c r="G1" s="70"/>
      <c r="H1" s="70"/>
    </row>
    <row r="3" customFormat="false" ht="21.75" hidden="false" customHeight="true" outlineLevel="0" collapsed="false">
      <c r="A3" s="20" t="s">
        <v>68</v>
      </c>
      <c r="B3" s="21" t="s">
        <v>57</v>
      </c>
      <c r="C3" s="21"/>
      <c r="D3" s="21"/>
      <c r="E3" s="21"/>
      <c r="F3" s="21"/>
      <c r="G3" s="21"/>
      <c r="H3" s="21"/>
    </row>
    <row r="4" customFormat="false" ht="21.75" hidden="false" customHeight="true" outlineLevel="0" collapsed="false">
      <c r="A4" s="20" t="s">
        <v>69</v>
      </c>
      <c r="B4" s="21" t="s">
        <v>58</v>
      </c>
      <c r="C4" s="21"/>
      <c r="D4" s="21"/>
      <c r="E4" s="21"/>
      <c r="F4" s="21"/>
      <c r="G4" s="21"/>
      <c r="H4" s="21"/>
    </row>
    <row r="5" customFormat="false" ht="21.75" hidden="false" customHeight="true" outlineLevel="0" collapsed="false">
      <c r="A5" s="20" t="s">
        <v>11</v>
      </c>
      <c r="B5" s="21" t="s">
        <v>59</v>
      </c>
      <c r="C5" s="21"/>
      <c r="D5" s="21"/>
      <c r="E5" s="21"/>
      <c r="F5" s="21"/>
      <c r="G5" s="21"/>
      <c r="H5" s="21"/>
    </row>
    <row r="6" customFormat="false" ht="21.75" hidden="false" customHeight="true" outlineLevel="0" collapsed="false">
      <c r="A6" s="20" t="s">
        <v>12</v>
      </c>
      <c r="B6" s="21" t="s">
        <v>60</v>
      </c>
      <c r="C6" s="21"/>
      <c r="D6" s="21"/>
      <c r="E6" s="21"/>
      <c r="F6" s="21"/>
      <c r="G6" s="21"/>
      <c r="H6" s="21"/>
    </row>
    <row r="7" customFormat="false" ht="21.75" hidden="false" customHeight="true" outlineLevel="0" collapsed="false">
      <c r="A7" s="20" t="s">
        <v>13</v>
      </c>
      <c r="B7" s="21" t="s">
        <v>61</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71" t="s">
        <v>76</v>
      </c>
      <c r="B12" s="71"/>
      <c r="C12" s="71"/>
      <c r="D12" s="71"/>
      <c r="E12" s="71"/>
      <c r="F12" s="71"/>
      <c r="G12" s="71"/>
      <c r="H12" s="71"/>
    </row>
    <row r="13" customFormat="false" ht="39.75" hidden="false" customHeight="true" outlineLevel="0" collapsed="false">
      <c r="A13" s="24" t="s">
        <v>77</v>
      </c>
      <c r="B13" s="25" t="s">
        <v>814</v>
      </c>
      <c r="C13" s="25"/>
      <c r="D13" s="25"/>
      <c r="E13" s="25"/>
      <c r="F13" s="25"/>
      <c r="G13" s="25"/>
      <c r="H13" s="25"/>
    </row>
    <row r="14" customFormat="false" ht="84" hidden="false" customHeight="true" outlineLevel="0" collapsed="false">
      <c r="A14" s="24" t="s">
        <v>79</v>
      </c>
      <c r="B14" s="25" t="s">
        <v>815</v>
      </c>
      <c r="C14" s="25"/>
      <c r="D14" s="25"/>
      <c r="E14" s="25"/>
      <c r="F14" s="25"/>
      <c r="G14" s="25"/>
      <c r="H14" s="25"/>
    </row>
    <row r="15" customFormat="false" ht="159.75" hidden="false" customHeight="true" outlineLevel="0" collapsed="false">
      <c r="A15" s="24" t="s">
        <v>81</v>
      </c>
      <c r="B15" s="25" t="s">
        <v>816</v>
      </c>
      <c r="C15" s="25"/>
      <c r="D15" s="25"/>
      <c r="E15" s="25"/>
      <c r="F15" s="25"/>
      <c r="G15" s="25"/>
      <c r="H15" s="25"/>
    </row>
    <row r="17" customFormat="false" ht="31.5" hidden="false" customHeight="true" outlineLevel="0" collapsed="false">
      <c r="A17" s="71" t="s">
        <v>83</v>
      </c>
      <c r="B17" s="71"/>
      <c r="C17" s="71"/>
      <c r="D17" s="71"/>
      <c r="E17" s="71"/>
      <c r="F17" s="71"/>
      <c r="G17" s="71"/>
      <c r="H17" s="71"/>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71" t="s">
        <v>85</v>
      </c>
      <c r="B20" s="71"/>
      <c r="C20" s="71"/>
      <c r="D20" s="71"/>
      <c r="E20" s="71"/>
      <c r="F20" s="71"/>
      <c r="G20" s="71"/>
      <c r="H20" s="71"/>
    </row>
    <row r="21" customFormat="false" ht="36" hidden="false" customHeight="true" outlineLevel="0" collapsed="false">
      <c r="A21" s="5" t="s">
        <v>86</v>
      </c>
      <c r="B21" s="5" t="s">
        <v>87</v>
      </c>
      <c r="C21" s="5" t="s">
        <v>88</v>
      </c>
      <c r="D21" s="5" t="s">
        <v>89</v>
      </c>
      <c r="E21" s="5" t="s">
        <v>90</v>
      </c>
      <c r="F21" s="5" t="s">
        <v>91</v>
      </c>
      <c r="G21" s="5" t="s">
        <v>92</v>
      </c>
      <c r="H21" s="5" t="s">
        <v>93</v>
      </c>
    </row>
    <row r="22" customFormat="false" ht="42" hidden="false" customHeight="true" outlineLevel="0" collapsed="false">
      <c r="A22" s="72" t="s">
        <v>817</v>
      </c>
      <c r="B22" s="7" t="s">
        <v>818</v>
      </c>
      <c r="C22" s="29" t="s">
        <v>819</v>
      </c>
      <c r="D22" s="10" t="n">
        <v>5</v>
      </c>
      <c r="E22" s="29"/>
      <c r="F22" s="29" t="str">
        <f aca="false">IF(E22="","",IF(UPPER(E22)="N/A","N/A",D22*E22))</f>
        <v/>
      </c>
      <c r="G22" s="30" t="s">
        <v>820</v>
      </c>
      <c r="H22" s="7"/>
    </row>
    <row r="23" customFormat="false" ht="39.75" hidden="false" customHeight="true" outlineLevel="0" collapsed="false">
      <c r="A23" s="72" t="s">
        <v>821</v>
      </c>
      <c r="B23" s="7" t="s">
        <v>822</v>
      </c>
      <c r="C23" s="29" t="s">
        <v>823</v>
      </c>
      <c r="D23" s="10" t="n">
        <v>4</v>
      </c>
      <c r="E23" s="29"/>
      <c r="F23" s="29" t="str">
        <f aca="false">IF(E23="","",IF(UPPER(E23)="N/A","N/A",D23*E23))</f>
        <v/>
      </c>
      <c r="G23" s="30" t="s">
        <v>824</v>
      </c>
      <c r="H23" s="7"/>
    </row>
    <row r="24" customFormat="false" ht="42" hidden="false" customHeight="true" outlineLevel="0" collapsed="false">
      <c r="A24" s="72" t="s">
        <v>825</v>
      </c>
      <c r="B24" s="7" t="s">
        <v>826</v>
      </c>
      <c r="C24" s="29" t="s">
        <v>827</v>
      </c>
      <c r="D24" s="10" t="n">
        <v>4</v>
      </c>
      <c r="E24" s="29"/>
      <c r="F24" s="29" t="str">
        <f aca="false">IF(E24="","",IF(UPPER(E24)="N/A","N/A",D24*E24))</f>
        <v/>
      </c>
      <c r="G24" s="30" t="s">
        <v>828</v>
      </c>
      <c r="H24" s="7"/>
    </row>
    <row r="25" customFormat="false" ht="39.75" hidden="false" customHeight="true" outlineLevel="0" collapsed="false">
      <c r="A25" s="72" t="s">
        <v>829</v>
      </c>
      <c r="B25" s="7" t="s">
        <v>830</v>
      </c>
      <c r="C25" s="29" t="s">
        <v>139</v>
      </c>
      <c r="D25" s="10" t="n">
        <v>3</v>
      </c>
      <c r="E25" s="29"/>
      <c r="F25" s="29" t="str">
        <f aca="false">IF(E25="","",IF(UPPER(E25)="N/A","N/A",D25*E25))</f>
        <v/>
      </c>
      <c r="G25" s="30" t="s">
        <v>831</v>
      </c>
      <c r="H25" s="7"/>
    </row>
    <row r="26" customFormat="false" ht="39.75" hidden="false" customHeight="true" outlineLevel="0" collapsed="false">
      <c r="A26" s="72" t="s">
        <v>832</v>
      </c>
      <c r="B26" s="7" t="s">
        <v>833</v>
      </c>
      <c r="C26" s="29" t="s">
        <v>834</v>
      </c>
      <c r="D26" s="10" t="n">
        <v>4</v>
      </c>
      <c r="E26" s="29"/>
      <c r="F26" s="29" t="str">
        <f aca="false">IF(E26="","",IF(UPPER(E26)="N/A","N/A",D26*E26))</f>
        <v/>
      </c>
      <c r="G26" s="30" t="s">
        <v>835</v>
      </c>
      <c r="H26" s="7"/>
    </row>
    <row r="27" customFormat="false" ht="39.75" hidden="false" customHeight="true" outlineLevel="0" collapsed="false">
      <c r="A27" s="72" t="s">
        <v>836</v>
      </c>
      <c r="B27" s="7" t="s">
        <v>837</v>
      </c>
      <c r="C27" s="29" t="s">
        <v>151</v>
      </c>
      <c r="D27" s="10" t="n">
        <v>3</v>
      </c>
      <c r="E27" s="29"/>
      <c r="F27" s="29" t="str">
        <f aca="false">IF(E27="","",IF(UPPER(E27)="N/A","N/A",D27*E27))</f>
        <v/>
      </c>
      <c r="G27" s="30" t="s">
        <v>838</v>
      </c>
      <c r="H27" s="7"/>
    </row>
    <row r="28" customFormat="false" ht="42" hidden="false" customHeight="true" outlineLevel="0" collapsed="false">
      <c r="A28" s="72" t="s">
        <v>839</v>
      </c>
      <c r="B28" s="7" t="s">
        <v>840</v>
      </c>
      <c r="C28" s="29" t="s">
        <v>841</v>
      </c>
      <c r="D28" s="10" t="n">
        <v>5</v>
      </c>
      <c r="E28" s="29"/>
      <c r="F28" s="29" t="str">
        <f aca="false">IF(E28="","",IF(UPPER(E28)="N/A","N/A",D28*E28))</f>
        <v/>
      </c>
      <c r="G28" s="30" t="s">
        <v>842</v>
      </c>
      <c r="H28" s="7"/>
    </row>
    <row r="29" customFormat="false" ht="42" hidden="false" customHeight="true" outlineLevel="0" collapsed="false">
      <c r="A29" s="72" t="s">
        <v>843</v>
      </c>
      <c r="B29" s="7" t="s">
        <v>844</v>
      </c>
      <c r="C29" s="29" t="s">
        <v>845</v>
      </c>
      <c r="D29" s="10" t="n">
        <v>5</v>
      </c>
      <c r="E29" s="29"/>
      <c r="F29" s="29" t="str">
        <f aca="false">IF(E29="","",IF(UPPER(E29)="N/A","N/A",D29*E29))</f>
        <v/>
      </c>
      <c r="G29" s="30" t="s">
        <v>846</v>
      </c>
      <c r="H29" s="7"/>
    </row>
    <row r="30" customFormat="false" ht="42" hidden="false" customHeight="true" outlineLevel="0" collapsed="false">
      <c r="A30" s="72" t="s">
        <v>847</v>
      </c>
      <c r="B30" s="7" t="s">
        <v>848</v>
      </c>
      <c r="C30" s="29" t="s">
        <v>849</v>
      </c>
      <c r="D30" s="10" t="n">
        <v>4</v>
      </c>
      <c r="E30" s="29"/>
      <c r="F30" s="29" t="str">
        <f aca="false">IF(E30="","",IF(UPPER(E30)="N/A","N/A",D30*E30))</f>
        <v/>
      </c>
      <c r="G30" s="30" t="s">
        <v>850</v>
      </c>
      <c r="H30" s="7"/>
    </row>
    <row r="31" customFormat="false" ht="42" hidden="false" customHeight="true" outlineLevel="0" collapsed="false">
      <c r="A31" s="72" t="s">
        <v>851</v>
      </c>
      <c r="B31" s="7" t="s">
        <v>852</v>
      </c>
      <c r="C31" s="29" t="s">
        <v>853</v>
      </c>
      <c r="D31" s="10" t="n">
        <v>5</v>
      </c>
      <c r="E31" s="29"/>
      <c r="F31" s="29" t="str">
        <f aca="false">IF(E31="","",IF(UPPER(E31)="N/A","N/A",D31*E31))</f>
        <v/>
      </c>
      <c r="G31" s="30" t="s">
        <v>854</v>
      </c>
      <c r="H31" s="7"/>
    </row>
    <row r="32" customFormat="false" ht="39.75" hidden="false" customHeight="true" outlineLevel="0" collapsed="false">
      <c r="A32" s="72" t="s">
        <v>855</v>
      </c>
      <c r="B32" s="7" t="s">
        <v>856</v>
      </c>
      <c r="C32" s="29" t="s">
        <v>857</v>
      </c>
      <c r="D32" s="10" t="n">
        <v>5</v>
      </c>
      <c r="E32" s="29"/>
      <c r="F32" s="29" t="str">
        <f aca="false">IF(E32="","",IF(UPPER(E32)="N/A","N/A",D32*E32))</f>
        <v/>
      </c>
      <c r="G32" s="30" t="s">
        <v>858</v>
      </c>
      <c r="H32" s="7"/>
    </row>
    <row r="33" customFormat="false" ht="39.75" hidden="false" customHeight="true" outlineLevel="0" collapsed="false">
      <c r="A33" s="72" t="s">
        <v>859</v>
      </c>
      <c r="B33" s="7" t="s">
        <v>860</v>
      </c>
      <c r="C33" s="29" t="s">
        <v>861</v>
      </c>
      <c r="D33" s="10" t="n">
        <v>4</v>
      </c>
      <c r="E33" s="29"/>
      <c r="F33" s="29" t="str">
        <f aca="false">IF(E33="","",IF(UPPER(E33)="N/A","N/A",D33*E33))</f>
        <v/>
      </c>
      <c r="G33" s="30" t="s">
        <v>862</v>
      </c>
      <c r="H33" s="7"/>
    </row>
    <row r="34" customFormat="false" ht="42" hidden="false" customHeight="true" outlineLevel="0" collapsed="false">
      <c r="A34" s="72" t="s">
        <v>863</v>
      </c>
      <c r="B34" s="7" t="s">
        <v>864</v>
      </c>
      <c r="C34" s="29" t="s">
        <v>865</v>
      </c>
      <c r="D34" s="10" t="n">
        <v>5</v>
      </c>
      <c r="E34" s="29"/>
      <c r="F34" s="29" t="str">
        <f aca="false">IF(E34="","",IF(UPPER(E34)="N/A","N/A",D34*E34))</f>
        <v/>
      </c>
      <c r="G34" s="30" t="s">
        <v>866</v>
      </c>
      <c r="H34" s="7"/>
    </row>
    <row r="35" customFormat="false" ht="39.75" hidden="false" customHeight="true" outlineLevel="0" collapsed="false">
      <c r="A35" s="72" t="s">
        <v>867</v>
      </c>
      <c r="B35" s="7" t="s">
        <v>868</v>
      </c>
      <c r="C35" s="29" t="s">
        <v>869</v>
      </c>
      <c r="D35" s="10" t="n">
        <v>4</v>
      </c>
      <c r="E35" s="29"/>
      <c r="F35" s="29" t="str">
        <f aca="false">IF(E35="","",IF(UPPER(E35)="N/A","N/A",D35*E35))</f>
        <v/>
      </c>
      <c r="G35" s="30" t="s">
        <v>870</v>
      </c>
      <c r="H35" s="7"/>
    </row>
    <row r="36" customFormat="false" ht="39.75" hidden="false" customHeight="true" outlineLevel="0" collapsed="false">
      <c r="A36" s="72" t="s">
        <v>871</v>
      </c>
      <c r="B36" s="7" t="s">
        <v>872</v>
      </c>
      <c r="C36" s="29" t="s">
        <v>873</v>
      </c>
      <c r="D36" s="10" t="n">
        <v>3</v>
      </c>
      <c r="E36" s="29"/>
      <c r="F36" s="29" t="str">
        <f aca="false">IF(E36="","",IF(UPPER(E36)="N/A","N/A",D36*E36))</f>
        <v/>
      </c>
      <c r="G36" s="30" t="s">
        <v>874</v>
      </c>
      <c r="H36" s="7"/>
    </row>
    <row r="37" customFormat="false" ht="39.75" hidden="false" customHeight="true" outlineLevel="0" collapsed="false">
      <c r="A37" s="72" t="s">
        <v>875</v>
      </c>
      <c r="B37" s="7" t="s">
        <v>876</v>
      </c>
      <c r="C37" s="29" t="s">
        <v>877</v>
      </c>
      <c r="D37" s="10" t="n">
        <v>3</v>
      </c>
      <c r="E37" s="29"/>
      <c r="F37" s="29" t="str">
        <f aca="false">IF(E37="","",IF(UPPER(E37)="N/A","N/A",D37*E37))</f>
        <v/>
      </c>
      <c r="G37" s="30" t="s">
        <v>878</v>
      </c>
      <c r="H37" s="7"/>
    </row>
    <row r="38" customFormat="false" ht="42" hidden="false" customHeight="true" outlineLevel="0" collapsed="false">
      <c r="A38" s="72" t="s">
        <v>879</v>
      </c>
      <c r="B38" s="7" t="s">
        <v>880</v>
      </c>
      <c r="C38" s="29" t="s">
        <v>881</v>
      </c>
      <c r="D38" s="10" t="n">
        <v>3</v>
      </c>
      <c r="E38" s="29"/>
      <c r="F38" s="29" t="str">
        <f aca="false">IF(E38="","",IF(UPPER(E38)="N/A","N/A",D38*E38))</f>
        <v/>
      </c>
      <c r="G38" s="30" t="s">
        <v>882</v>
      </c>
      <c r="H38" s="7"/>
    </row>
    <row r="39" customFormat="false" ht="39.75" hidden="false" customHeight="true" outlineLevel="0" collapsed="false">
      <c r="A39" s="72" t="s">
        <v>883</v>
      </c>
      <c r="B39" s="7" t="s">
        <v>884</v>
      </c>
      <c r="C39" s="29" t="s">
        <v>885</v>
      </c>
      <c r="D39" s="10" t="n">
        <v>4</v>
      </c>
      <c r="E39" s="29"/>
      <c r="F39" s="29" t="str">
        <f aca="false">IF(E39="","",IF(UPPER(E39)="N/A","N/A",D39*E39))</f>
        <v/>
      </c>
      <c r="G39" s="30" t="s">
        <v>886</v>
      </c>
      <c r="H39" s="7"/>
    </row>
    <row r="40" customFormat="false" ht="39.75" hidden="false" customHeight="true" outlineLevel="0" collapsed="false">
      <c r="A40" s="72" t="s">
        <v>887</v>
      </c>
      <c r="B40" s="7" t="s">
        <v>888</v>
      </c>
      <c r="C40" s="29" t="s">
        <v>889</v>
      </c>
      <c r="D40" s="10" t="n">
        <v>3</v>
      </c>
      <c r="E40" s="29"/>
      <c r="F40" s="29" t="str">
        <f aca="false">IF(E40="","",IF(UPPER(E40)="N/A","N/A",D40*E40))</f>
        <v/>
      </c>
      <c r="G40" s="30" t="s">
        <v>609</v>
      </c>
      <c r="H40" s="7"/>
    </row>
    <row r="41" customFormat="false" ht="39.75" hidden="false" customHeight="true" outlineLevel="0" collapsed="false">
      <c r="A41" s="72" t="s">
        <v>890</v>
      </c>
      <c r="B41" s="7" t="s">
        <v>891</v>
      </c>
      <c r="C41" s="29" t="s">
        <v>892</v>
      </c>
      <c r="D41" s="10" t="n">
        <v>1</v>
      </c>
      <c r="E41" s="29"/>
      <c r="F41" s="29" t="str">
        <f aca="false">IF(E41="","",IF(UPPER(E41)="N/A","N/A",D41*E41))</f>
        <v/>
      </c>
      <c r="G41" s="30" t="s">
        <v>893</v>
      </c>
      <c r="H41" s="7"/>
    </row>
    <row r="42" customFormat="false" ht="39.75" hidden="false" customHeight="true" outlineLevel="0" collapsed="false">
      <c r="A42" s="72" t="s">
        <v>894</v>
      </c>
      <c r="B42" s="7" t="s">
        <v>895</v>
      </c>
      <c r="C42" s="29" t="s">
        <v>896</v>
      </c>
      <c r="D42" s="10" t="n">
        <v>2</v>
      </c>
      <c r="E42" s="29"/>
      <c r="F42" s="29" t="str">
        <f aca="false">IF(E42="","",IF(UPPER(E42)="N/A","N/A",D42*E42))</f>
        <v/>
      </c>
      <c r="G42" s="30" t="s">
        <v>897</v>
      </c>
      <c r="H42" s="7"/>
    </row>
    <row r="43" customFormat="false" ht="39.75" hidden="false" customHeight="true" outlineLevel="0" collapsed="false">
      <c r="A43" s="72" t="s">
        <v>898</v>
      </c>
      <c r="B43" s="7" t="s">
        <v>899</v>
      </c>
      <c r="C43" s="29" t="s">
        <v>885</v>
      </c>
      <c r="D43" s="10" t="n">
        <v>3</v>
      </c>
      <c r="E43" s="29"/>
      <c r="F43" s="29" t="str">
        <f aca="false">IF(E43="","",IF(UPPER(E43)="N/A","N/A",D43*E43))</f>
        <v/>
      </c>
      <c r="G43" s="30" t="s">
        <v>900</v>
      </c>
      <c r="H43" s="7"/>
    </row>
    <row r="45" customFormat="false" ht="31.5" hidden="false" customHeight="true" outlineLevel="0" collapsed="false">
      <c r="A45" s="71" t="s">
        <v>181</v>
      </c>
      <c r="B45" s="71"/>
      <c r="C45" s="71"/>
      <c r="D45" s="71"/>
      <c r="E45" s="71"/>
      <c r="F45" s="71"/>
      <c r="G45" s="71"/>
      <c r="H45" s="71"/>
    </row>
    <row r="46" customFormat="false" ht="36" hidden="false" customHeight="true" outlineLevel="0" collapsed="false">
      <c r="A46" s="20" t="s">
        <v>182</v>
      </c>
      <c r="B46" s="31" t="n">
        <f aca="false">SUMPRODUCT(IFERROR((F22:F43+0),0))</f>
        <v>0</v>
      </c>
      <c r="C46" s="20" t="s">
        <v>183</v>
      </c>
      <c r="D46" s="31" t="n">
        <f aca="false">SUMPRODUCT((F22:F43&lt;&gt;"N/A")*(F22:F43&lt;&gt;"")*(D22:D43*2))</f>
        <v>0</v>
      </c>
      <c r="E46" s="20" t="s">
        <v>15</v>
      </c>
      <c r="F46" s="73" t="str">
        <f aca="false">IFERROR(B46/D46,"")</f>
        <v/>
      </c>
      <c r="G46" s="20" t="s">
        <v>16</v>
      </c>
      <c r="H46" s="33" t="str">
        <f aca="false">IFERROR(IF(F46="","",IF(F46&gt;=0.95,"Compliant",IF(F46&gt;=0.85,"Substantially compliant",IF(F46&gt;=0.7,"Partially compliant","Non-compliant")))),"")</f>
        <v/>
      </c>
    </row>
    <row r="48" customFormat="false" ht="15" hidden="false" customHeight="false" outlineLevel="0" collapsed="false">
      <c r="A48" s="34" t="s">
        <v>184</v>
      </c>
      <c r="B48" s="34"/>
      <c r="C48" s="34"/>
      <c r="D48" s="34"/>
      <c r="E48" s="34"/>
      <c r="F48" s="34"/>
      <c r="G48" s="34"/>
      <c r="H48" s="34"/>
    </row>
    <row r="50" customFormat="false" ht="31.5" hidden="false" customHeight="true" outlineLevel="0" collapsed="false">
      <c r="A50" s="71" t="s">
        <v>185</v>
      </c>
      <c r="B50" s="71"/>
      <c r="C50" s="71"/>
      <c r="D50" s="71"/>
      <c r="E50" s="71"/>
      <c r="F50" s="71"/>
      <c r="G50" s="71"/>
      <c r="H50" s="71"/>
    </row>
    <row r="51" customFormat="false" ht="25.5" hidden="false" customHeight="true" outlineLevel="0" collapsed="false">
      <c r="A51" s="35" t="s">
        <v>186</v>
      </c>
      <c r="B51" s="35"/>
      <c r="C51" s="35"/>
      <c r="D51" s="35"/>
      <c r="E51" s="35"/>
      <c r="F51" s="35"/>
      <c r="G51" s="35"/>
      <c r="H51" s="35"/>
    </row>
    <row r="52" customFormat="false" ht="25.5" hidden="false" customHeight="true" outlineLevel="0" collapsed="false">
      <c r="A52" s="35"/>
      <c r="B52" s="35"/>
      <c r="C52" s="35"/>
      <c r="D52" s="35"/>
      <c r="E52" s="35"/>
      <c r="F52" s="35"/>
      <c r="G52" s="35"/>
      <c r="H52" s="35"/>
    </row>
    <row r="53" customFormat="false" ht="25.5" hidden="false" customHeight="true" outlineLevel="0" collapsed="false">
      <c r="A53" s="35"/>
      <c r="B53" s="35"/>
      <c r="C53" s="35"/>
      <c r="D53" s="35"/>
      <c r="E53" s="35"/>
      <c r="F53" s="35"/>
      <c r="G53" s="35"/>
      <c r="H53" s="35"/>
    </row>
    <row r="54" customFormat="false" ht="25.5" hidden="false" customHeight="true" outlineLevel="0" collapsed="false">
      <c r="A54" s="35"/>
      <c r="B54" s="35"/>
      <c r="C54" s="35"/>
      <c r="D54" s="35"/>
      <c r="E54" s="35"/>
      <c r="F54" s="35"/>
      <c r="G54" s="35"/>
      <c r="H54" s="35"/>
    </row>
    <row r="56" customFormat="false" ht="31.5" hidden="false" customHeight="true" outlineLevel="0" collapsed="false">
      <c r="A56" s="71" t="s">
        <v>187</v>
      </c>
      <c r="B56" s="71"/>
      <c r="C56" s="71"/>
      <c r="D56" s="71"/>
      <c r="E56" s="71"/>
      <c r="F56" s="71"/>
      <c r="G56" s="71"/>
      <c r="H56" s="71"/>
    </row>
    <row r="57" customFormat="false" ht="25.5" hidden="false" customHeight="true" outlineLevel="0" collapsed="false">
      <c r="A57" s="35" t="s">
        <v>188</v>
      </c>
      <c r="B57" s="35"/>
      <c r="C57" s="35"/>
      <c r="D57" s="35"/>
      <c r="E57" s="35"/>
      <c r="F57" s="35"/>
      <c r="G57" s="35"/>
      <c r="H57" s="35"/>
    </row>
    <row r="58" customFormat="false" ht="25.5" hidden="false" customHeight="true" outlineLevel="0" collapsed="false">
      <c r="A58" s="35"/>
      <c r="B58" s="35"/>
      <c r="C58" s="35"/>
      <c r="D58" s="35"/>
      <c r="E58" s="35"/>
      <c r="F58" s="35"/>
      <c r="G58" s="35"/>
      <c r="H58" s="35"/>
    </row>
    <row r="59" customFormat="false" ht="25.5" hidden="false" customHeight="true" outlineLevel="0" collapsed="false">
      <c r="A59" s="35"/>
      <c r="B59" s="35"/>
      <c r="C59" s="35"/>
      <c r="D59" s="35"/>
      <c r="E59" s="35"/>
      <c r="F59" s="35"/>
      <c r="G59" s="35"/>
      <c r="H59" s="35"/>
    </row>
    <row r="61" customFormat="false" ht="31.5" hidden="false" customHeight="true" outlineLevel="0" collapsed="false">
      <c r="A61" s="71" t="s">
        <v>189</v>
      </c>
      <c r="B61" s="71"/>
      <c r="C61" s="71"/>
      <c r="D61" s="71"/>
      <c r="E61" s="71"/>
      <c r="F61" s="71"/>
      <c r="G61" s="71"/>
      <c r="H61" s="71"/>
    </row>
    <row r="62" customFormat="false" ht="27.75" hidden="false" customHeight="true" outlineLevel="0" collapsed="false">
      <c r="A62" s="5" t="s">
        <v>190</v>
      </c>
      <c r="B62" s="5" t="s">
        <v>191</v>
      </c>
      <c r="C62" s="5" t="s">
        <v>12</v>
      </c>
      <c r="D62" s="5" t="s">
        <v>192</v>
      </c>
      <c r="E62" s="5" t="s">
        <v>193</v>
      </c>
      <c r="F62" s="5" t="s">
        <v>194</v>
      </c>
      <c r="G62" s="5" t="s">
        <v>195</v>
      </c>
      <c r="H62" s="5" t="s">
        <v>196</v>
      </c>
    </row>
    <row r="63" customFormat="false" ht="27.75" hidden="false" customHeight="true" outlineLevel="0" collapsed="false">
      <c r="A63" s="10" t="n">
        <v>1</v>
      </c>
      <c r="B63" s="7"/>
      <c r="C63" s="7"/>
      <c r="D63" s="8"/>
      <c r="E63" s="7"/>
      <c r="F63" s="7"/>
      <c r="G63" s="7"/>
      <c r="H63" s="8"/>
    </row>
    <row r="64" customFormat="false" ht="27.75" hidden="false" customHeight="true" outlineLevel="0" collapsed="false">
      <c r="A64" s="10" t="n">
        <v>2</v>
      </c>
      <c r="B64" s="7"/>
      <c r="C64" s="7"/>
      <c r="D64" s="8"/>
      <c r="E64" s="7"/>
      <c r="F64" s="7"/>
      <c r="G64" s="7"/>
      <c r="H64" s="8"/>
    </row>
    <row r="65" customFormat="false" ht="27.75" hidden="false" customHeight="true" outlineLevel="0" collapsed="false">
      <c r="A65" s="10" t="n">
        <v>3</v>
      </c>
      <c r="B65" s="7"/>
      <c r="C65" s="7"/>
      <c r="D65" s="8"/>
      <c r="E65" s="7"/>
      <c r="F65" s="7"/>
      <c r="G65" s="7"/>
      <c r="H65" s="8"/>
    </row>
    <row r="66" customFormat="false" ht="27.75" hidden="false" customHeight="true" outlineLevel="0" collapsed="false">
      <c r="A66" s="10" t="n">
        <v>4</v>
      </c>
      <c r="B66" s="7"/>
      <c r="C66" s="7"/>
      <c r="D66" s="8"/>
      <c r="E66" s="7"/>
      <c r="F66" s="7"/>
      <c r="G66" s="7"/>
      <c r="H66" s="8"/>
    </row>
    <row r="67" customFormat="false" ht="27.75" hidden="false" customHeight="true" outlineLevel="0" collapsed="false">
      <c r="A67" s="10" t="n">
        <v>5</v>
      </c>
      <c r="B67" s="7"/>
      <c r="C67" s="7"/>
      <c r="D67" s="8"/>
      <c r="E67" s="7"/>
      <c r="F67" s="7"/>
      <c r="G67" s="7"/>
      <c r="H67" s="8"/>
    </row>
    <row r="68" customFormat="false" ht="27.75" hidden="false" customHeight="true" outlineLevel="0" collapsed="false">
      <c r="A68" s="10" t="n">
        <v>6</v>
      </c>
      <c r="B68" s="7"/>
      <c r="C68" s="7"/>
      <c r="D68" s="8"/>
      <c r="E68" s="7"/>
      <c r="F68" s="7"/>
      <c r="G68" s="7"/>
      <c r="H68" s="8"/>
    </row>
    <row r="69" customFormat="false" ht="27.75" hidden="false" customHeight="true" outlineLevel="0" collapsed="false">
      <c r="A69" s="10" t="n">
        <v>7</v>
      </c>
      <c r="B69" s="7"/>
      <c r="C69" s="7"/>
      <c r="D69" s="8"/>
      <c r="E69" s="7"/>
      <c r="F69" s="7"/>
      <c r="G69" s="7"/>
      <c r="H69" s="8"/>
    </row>
    <row r="70" customFormat="false" ht="27.75" hidden="false" customHeight="true" outlineLevel="0" collapsed="false">
      <c r="A70" s="10" t="n">
        <v>8</v>
      </c>
      <c r="B70" s="7"/>
      <c r="C70" s="7"/>
      <c r="D70" s="8"/>
      <c r="E70" s="7"/>
      <c r="F70" s="7"/>
      <c r="G70" s="7"/>
      <c r="H70" s="8"/>
    </row>
    <row r="72" customFormat="false" ht="31.5" hidden="false" customHeight="true" outlineLevel="0" collapsed="false">
      <c r="A72" s="71" t="s">
        <v>197</v>
      </c>
      <c r="B72" s="71"/>
      <c r="C72" s="71"/>
      <c r="D72" s="71"/>
      <c r="E72" s="71"/>
      <c r="F72" s="71"/>
      <c r="G72" s="71"/>
      <c r="H72" s="71"/>
    </row>
    <row r="73" customFormat="false" ht="24" hidden="false" customHeight="true" outlineLevel="0" collapsed="false">
      <c r="A73" s="36" t="s">
        <v>198</v>
      </c>
      <c r="B73" s="36"/>
      <c r="C73" s="36" t="s">
        <v>199</v>
      </c>
      <c r="D73" s="36"/>
      <c r="E73" s="36" t="s">
        <v>200</v>
      </c>
      <c r="F73" s="36"/>
      <c r="G73" s="36" t="s">
        <v>201</v>
      </c>
      <c r="H73" s="36"/>
    </row>
    <row r="74" customFormat="false" ht="30" hidden="false" customHeight="true" outlineLevel="0" collapsed="false">
      <c r="A74" s="37" t="s">
        <v>202</v>
      </c>
      <c r="B74" s="37"/>
      <c r="C74" s="38"/>
      <c r="D74" s="38"/>
      <c r="E74" s="38"/>
      <c r="F74" s="38"/>
      <c r="G74" s="39"/>
      <c r="H74" s="39"/>
    </row>
    <row r="75" customFormat="false" ht="30" hidden="false" customHeight="true" outlineLevel="0" collapsed="false">
      <c r="A75" s="37" t="s">
        <v>203</v>
      </c>
      <c r="B75" s="37"/>
      <c r="C75" s="38"/>
      <c r="D75" s="38"/>
      <c r="E75" s="38"/>
      <c r="F75" s="38"/>
      <c r="G75" s="39"/>
      <c r="H75" s="39"/>
    </row>
    <row r="76" customFormat="false" ht="30" hidden="false" customHeight="true" outlineLevel="0" collapsed="false">
      <c r="A76" s="37" t="s">
        <v>204</v>
      </c>
      <c r="B76" s="37"/>
      <c r="C76" s="38"/>
      <c r="D76" s="38"/>
      <c r="E76" s="38"/>
      <c r="F76" s="38"/>
      <c r="G76" s="39"/>
      <c r="H76" s="39"/>
    </row>
    <row r="77" customFormat="false" ht="30" hidden="false" customHeight="true" outlineLevel="0" collapsed="false">
      <c r="A77" s="37" t="s">
        <v>205</v>
      </c>
      <c r="B77" s="37"/>
      <c r="C77" s="38"/>
      <c r="D77" s="38"/>
      <c r="E77" s="38"/>
      <c r="F77" s="38"/>
      <c r="G77" s="39"/>
      <c r="H77"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5:H45"/>
    <mergeCell ref="A48:H48"/>
    <mergeCell ref="A50:H50"/>
    <mergeCell ref="A51:H54"/>
    <mergeCell ref="A56:H56"/>
    <mergeCell ref="A57:H59"/>
    <mergeCell ref="A61:H61"/>
    <mergeCell ref="A72:H72"/>
    <mergeCell ref="A73:B73"/>
    <mergeCell ref="C73:D73"/>
    <mergeCell ref="E73:F73"/>
    <mergeCell ref="G73:H73"/>
    <mergeCell ref="A74:B74"/>
    <mergeCell ref="A75:B75"/>
    <mergeCell ref="A76:B76"/>
    <mergeCell ref="A77:B77"/>
  </mergeCells>
  <conditionalFormatting sqref="E22:E43">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6">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3" type="list">
      <formula1>"0,1,2,N/A"</formula1>
      <formula2>0</formula2>
    </dataValidation>
    <dataValidation allowBlank="true" errorStyle="stop" operator="between" showDropDown="false" showErrorMessage="false" showInputMessage="false" sqref="E63:E70"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8E2C"/>
    <pageSetUpPr fitToPage="false"/>
  </sheetPr>
  <dimension ref="A1:H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6"/>
    <col collapsed="false" customWidth="true" hidden="false" outlineLevel="0" max="4" min="4" style="0" width="10"/>
    <col collapsed="false" customWidth="true" hidden="false" outlineLevel="0" max="6" min="5" style="0" width="12"/>
    <col collapsed="false" customWidth="true" hidden="false" outlineLevel="0" max="7" min="7" style="0" width="55"/>
    <col collapsed="false" customWidth="true" hidden="false" outlineLevel="0" max="8" min="8" style="0" width="22"/>
  </cols>
  <sheetData>
    <row r="1" customFormat="false" ht="31.5" hidden="false" customHeight="true" outlineLevel="0" collapsed="false">
      <c r="A1" s="74" t="s">
        <v>901</v>
      </c>
      <c r="B1" s="74"/>
      <c r="C1" s="74"/>
      <c r="D1" s="74"/>
      <c r="E1" s="74"/>
      <c r="F1" s="74"/>
      <c r="G1" s="74"/>
      <c r="H1" s="74"/>
    </row>
    <row r="3" customFormat="false" ht="21.75" hidden="false" customHeight="true" outlineLevel="0" collapsed="false">
      <c r="A3" s="20" t="s">
        <v>68</v>
      </c>
      <c r="B3" s="21" t="s">
        <v>62</v>
      </c>
      <c r="C3" s="21"/>
      <c r="D3" s="21"/>
      <c r="E3" s="21"/>
      <c r="F3" s="21"/>
      <c r="G3" s="21"/>
      <c r="H3" s="21"/>
    </row>
    <row r="4" customFormat="false" ht="21.75" hidden="false" customHeight="true" outlineLevel="0" collapsed="false">
      <c r="A4" s="20" t="s">
        <v>69</v>
      </c>
      <c r="B4" s="21" t="s">
        <v>63</v>
      </c>
      <c r="C4" s="21"/>
      <c r="D4" s="21"/>
      <c r="E4" s="21"/>
      <c r="F4" s="21"/>
      <c r="G4" s="21"/>
      <c r="H4" s="21"/>
    </row>
    <row r="5" customFormat="false" ht="21.75" hidden="false" customHeight="true" outlineLevel="0" collapsed="false">
      <c r="A5" s="20" t="s">
        <v>11</v>
      </c>
      <c r="B5" s="21" t="s">
        <v>64</v>
      </c>
      <c r="C5" s="21"/>
      <c r="D5" s="21"/>
      <c r="E5" s="21"/>
      <c r="F5" s="21"/>
      <c r="G5" s="21"/>
      <c r="H5" s="21"/>
    </row>
    <row r="6" customFormat="false" ht="21.75" hidden="false" customHeight="true" outlineLevel="0" collapsed="false">
      <c r="A6" s="20" t="s">
        <v>12</v>
      </c>
      <c r="B6" s="21" t="s">
        <v>65</v>
      </c>
      <c r="C6" s="21"/>
      <c r="D6" s="21"/>
      <c r="E6" s="21"/>
      <c r="F6" s="21"/>
      <c r="G6" s="21"/>
      <c r="H6" s="21"/>
    </row>
    <row r="7" customFormat="false" ht="21.75" hidden="false" customHeight="true" outlineLevel="0" collapsed="false">
      <c r="A7" s="20" t="s">
        <v>13</v>
      </c>
      <c r="B7" s="21" t="s">
        <v>66</v>
      </c>
      <c r="C7" s="21"/>
      <c r="D7" s="21"/>
      <c r="E7" s="21"/>
      <c r="F7" s="21"/>
      <c r="G7" s="21"/>
      <c r="H7" s="21"/>
    </row>
    <row r="8" customFormat="false" ht="21.75" hidden="false" customHeight="true" outlineLevel="0" collapsed="false">
      <c r="A8" s="20" t="s">
        <v>70</v>
      </c>
      <c r="B8" s="22" t="s">
        <v>71</v>
      </c>
      <c r="C8" s="22"/>
      <c r="D8" s="22"/>
      <c r="E8" s="22"/>
      <c r="F8" s="22"/>
      <c r="G8" s="22"/>
      <c r="H8" s="22"/>
    </row>
    <row r="9" customFormat="false" ht="21.75" hidden="false" customHeight="true" outlineLevel="0" collapsed="false">
      <c r="A9" s="20" t="s">
        <v>72</v>
      </c>
      <c r="B9" s="22" t="s">
        <v>73</v>
      </c>
      <c r="C9" s="22"/>
      <c r="D9" s="22"/>
      <c r="E9" s="22"/>
      <c r="F9" s="22"/>
      <c r="G9" s="22"/>
      <c r="H9" s="22"/>
    </row>
    <row r="10" customFormat="false" ht="21.75" hidden="false" customHeight="true" outlineLevel="0" collapsed="false">
      <c r="A10" s="20" t="s">
        <v>74</v>
      </c>
      <c r="B10" s="22" t="s">
        <v>75</v>
      </c>
      <c r="C10" s="22"/>
      <c r="D10" s="22"/>
      <c r="E10" s="22"/>
      <c r="F10" s="22"/>
      <c r="G10" s="22"/>
      <c r="H10" s="22"/>
    </row>
    <row r="12" customFormat="false" ht="31.5" hidden="false" customHeight="true" outlineLevel="0" collapsed="false">
      <c r="A12" s="75" t="s">
        <v>76</v>
      </c>
      <c r="B12" s="75"/>
      <c r="C12" s="75"/>
      <c r="D12" s="75"/>
      <c r="E12" s="75"/>
      <c r="F12" s="75"/>
      <c r="G12" s="75"/>
      <c r="H12" s="75"/>
    </row>
    <row r="13" customFormat="false" ht="39.75" hidden="false" customHeight="true" outlineLevel="0" collapsed="false">
      <c r="A13" s="24" t="s">
        <v>77</v>
      </c>
      <c r="B13" s="25" t="s">
        <v>902</v>
      </c>
      <c r="C13" s="25"/>
      <c r="D13" s="25"/>
      <c r="E13" s="25"/>
      <c r="F13" s="25"/>
      <c r="G13" s="25"/>
      <c r="H13" s="25"/>
    </row>
    <row r="14" customFormat="false" ht="84" hidden="false" customHeight="true" outlineLevel="0" collapsed="false">
      <c r="A14" s="24" t="s">
        <v>79</v>
      </c>
      <c r="B14" s="25" t="s">
        <v>903</v>
      </c>
      <c r="C14" s="25"/>
      <c r="D14" s="25"/>
      <c r="E14" s="25"/>
      <c r="F14" s="25"/>
      <c r="G14" s="25"/>
      <c r="H14" s="25"/>
    </row>
    <row r="15" customFormat="false" ht="201.75" hidden="false" customHeight="true" outlineLevel="0" collapsed="false">
      <c r="A15" s="24" t="s">
        <v>81</v>
      </c>
      <c r="B15" s="25" t="s">
        <v>904</v>
      </c>
      <c r="C15" s="25"/>
      <c r="D15" s="25"/>
      <c r="E15" s="25"/>
      <c r="F15" s="25"/>
      <c r="G15" s="25"/>
      <c r="H15" s="25"/>
    </row>
    <row r="17" customFormat="false" ht="31.5" hidden="false" customHeight="true" outlineLevel="0" collapsed="false">
      <c r="A17" s="75" t="s">
        <v>83</v>
      </c>
      <c r="B17" s="75"/>
      <c r="C17" s="75"/>
      <c r="D17" s="75"/>
      <c r="E17" s="75"/>
      <c r="F17" s="75"/>
      <c r="G17" s="75"/>
      <c r="H17" s="75"/>
    </row>
    <row r="18" customFormat="false" ht="39.75" hidden="false" customHeight="true" outlineLevel="0" collapsed="false">
      <c r="A18" s="26" t="s">
        <v>84</v>
      </c>
      <c r="B18" s="26"/>
      <c r="C18" s="26"/>
      <c r="D18" s="26"/>
      <c r="E18" s="26"/>
      <c r="F18" s="26"/>
      <c r="G18" s="26"/>
      <c r="H18" s="26"/>
    </row>
    <row r="20" customFormat="false" ht="31.5" hidden="false" customHeight="true" outlineLevel="0" collapsed="false">
      <c r="A20" s="75" t="s">
        <v>85</v>
      </c>
      <c r="B20" s="75"/>
      <c r="C20" s="75"/>
      <c r="D20" s="75"/>
      <c r="E20" s="75"/>
      <c r="F20" s="75"/>
      <c r="G20" s="75"/>
      <c r="H20" s="75"/>
    </row>
    <row r="21" customFormat="false" ht="36" hidden="false" customHeight="true" outlineLevel="0" collapsed="false">
      <c r="A21" s="76" t="s">
        <v>86</v>
      </c>
      <c r="B21" s="76" t="s">
        <v>87</v>
      </c>
      <c r="C21" s="76" t="s">
        <v>88</v>
      </c>
      <c r="D21" s="76" t="s">
        <v>89</v>
      </c>
      <c r="E21" s="76" t="s">
        <v>90</v>
      </c>
      <c r="F21" s="76" t="s">
        <v>91</v>
      </c>
      <c r="G21" s="76" t="s">
        <v>92</v>
      </c>
      <c r="H21" s="76" t="s">
        <v>93</v>
      </c>
    </row>
    <row r="22" customFormat="false" ht="39.75" hidden="false" customHeight="true" outlineLevel="0" collapsed="false">
      <c r="A22" s="77" t="s">
        <v>905</v>
      </c>
      <c r="B22" s="7" t="s">
        <v>906</v>
      </c>
      <c r="C22" s="29" t="s">
        <v>907</v>
      </c>
      <c r="D22" s="10" t="n">
        <v>5</v>
      </c>
      <c r="E22" s="29"/>
      <c r="F22" s="29" t="str">
        <f aca="false">IF(E22="","",IF(UPPER(E22)="N/A","N/A",D22*E22))</f>
        <v/>
      </c>
      <c r="G22" s="30" t="s">
        <v>908</v>
      </c>
      <c r="H22" s="7"/>
    </row>
    <row r="23" customFormat="false" ht="39.75" hidden="false" customHeight="true" outlineLevel="0" collapsed="false">
      <c r="A23" s="77" t="s">
        <v>909</v>
      </c>
      <c r="B23" s="7" t="s">
        <v>910</v>
      </c>
      <c r="C23" s="29" t="s">
        <v>911</v>
      </c>
      <c r="D23" s="10" t="n">
        <v>5</v>
      </c>
      <c r="E23" s="29"/>
      <c r="F23" s="29" t="str">
        <f aca="false">IF(E23="","",IF(UPPER(E23)="N/A","N/A",D23*E23))</f>
        <v/>
      </c>
      <c r="G23" s="30" t="s">
        <v>912</v>
      </c>
      <c r="H23" s="7"/>
    </row>
    <row r="24" customFormat="false" ht="39.75" hidden="false" customHeight="true" outlineLevel="0" collapsed="false">
      <c r="A24" s="77" t="s">
        <v>913</v>
      </c>
      <c r="B24" s="7" t="s">
        <v>914</v>
      </c>
      <c r="C24" s="29" t="s">
        <v>915</v>
      </c>
      <c r="D24" s="10" t="n">
        <v>4</v>
      </c>
      <c r="E24" s="29"/>
      <c r="F24" s="29" t="str">
        <f aca="false">IF(E24="","",IF(UPPER(E24)="N/A","N/A",D24*E24))</f>
        <v/>
      </c>
      <c r="G24" s="30" t="s">
        <v>916</v>
      </c>
      <c r="H24" s="7"/>
    </row>
    <row r="25" customFormat="false" ht="39.75" hidden="false" customHeight="true" outlineLevel="0" collapsed="false">
      <c r="A25" s="77" t="s">
        <v>917</v>
      </c>
      <c r="B25" s="7" t="s">
        <v>918</v>
      </c>
      <c r="C25" s="29" t="s">
        <v>919</v>
      </c>
      <c r="D25" s="10" t="n">
        <v>5</v>
      </c>
      <c r="E25" s="29"/>
      <c r="F25" s="29" t="str">
        <f aca="false">IF(E25="","",IF(UPPER(E25)="N/A","N/A",D25*E25))</f>
        <v/>
      </c>
      <c r="G25" s="30" t="s">
        <v>920</v>
      </c>
      <c r="H25" s="7"/>
    </row>
    <row r="26" customFormat="false" ht="42" hidden="false" customHeight="true" outlineLevel="0" collapsed="false">
      <c r="A26" s="77" t="s">
        <v>921</v>
      </c>
      <c r="B26" s="7" t="s">
        <v>922</v>
      </c>
      <c r="C26" s="29" t="s">
        <v>923</v>
      </c>
      <c r="D26" s="10" t="n">
        <v>5</v>
      </c>
      <c r="E26" s="29"/>
      <c r="F26" s="29" t="str">
        <f aca="false">IF(E26="","",IF(UPPER(E26)="N/A","N/A",D26*E26))</f>
        <v/>
      </c>
      <c r="G26" s="30" t="s">
        <v>924</v>
      </c>
      <c r="H26" s="7"/>
    </row>
    <row r="27" customFormat="false" ht="39.75" hidden="false" customHeight="true" outlineLevel="0" collapsed="false">
      <c r="A27" s="77" t="s">
        <v>925</v>
      </c>
      <c r="B27" s="7" t="s">
        <v>926</v>
      </c>
      <c r="C27" s="29" t="s">
        <v>927</v>
      </c>
      <c r="D27" s="10" t="n">
        <v>5</v>
      </c>
      <c r="E27" s="29"/>
      <c r="F27" s="29" t="str">
        <f aca="false">IF(E27="","",IF(UPPER(E27)="N/A","N/A",D27*E27))</f>
        <v/>
      </c>
      <c r="G27" s="30" t="s">
        <v>928</v>
      </c>
      <c r="H27" s="7"/>
    </row>
    <row r="28" customFormat="false" ht="69.75" hidden="false" customHeight="true" outlineLevel="0" collapsed="false">
      <c r="A28" s="77" t="s">
        <v>929</v>
      </c>
      <c r="B28" s="7" t="s">
        <v>930</v>
      </c>
      <c r="C28" s="29" t="s">
        <v>927</v>
      </c>
      <c r="D28" s="10" t="n">
        <v>4</v>
      </c>
      <c r="E28" s="29"/>
      <c r="F28" s="29" t="str">
        <f aca="false">IF(E28="","",IF(UPPER(E28)="N/A","N/A",D28*E28))</f>
        <v/>
      </c>
      <c r="G28" s="30" t="s">
        <v>931</v>
      </c>
      <c r="H28" s="7"/>
    </row>
    <row r="29" customFormat="false" ht="42" hidden="false" customHeight="true" outlineLevel="0" collapsed="false">
      <c r="A29" s="77" t="s">
        <v>932</v>
      </c>
      <c r="B29" s="7" t="s">
        <v>933</v>
      </c>
      <c r="C29" s="29" t="s">
        <v>927</v>
      </c>
      <c r="D29" s="10" t="n">
        <v>4</v>
      </c>
      <c r="E29" s="29"/>
      <c r="F29" s="29" t="str">
        <f aca="false">IF(E29="","",IF(UPPER(E29)="N/A","N/A",D29*E29))</f>
        <v/>
      </c>
      <c r="G29" s="30" t="s">
        <v>934</v>
      </c>
      <c r="H29" s="7"/>
    </row>
    <row r="30" customFormat="false" ht="39.75" hidden="false" customHeight="true" outlineLevel="0" collapsed="false">
      <c r="A30" s="77" t="s">
        <v>935</v>
      </c>
      <c r="B30" s="7" t="s">
        <v>936</v>
      </c>
      <c r="C30" s="29" t="s">
        <v>937</v>
      </c>
      <c r="D30" s="10" t="n">
        <v>4</v>
      </c>
      <c r="E30" s="29"/>
      <c r="F30" s="29" t="str">
        <f aca="false">IF(E30="","",IF(UPPER(E30)="N/A","N/A",D30*E30))</f>
        <v/>
      </c>
      <c r="G30" s="30" t="s">
        <v>938</v>
      </c>
      <c r="H30" s="7"/>
    </row>
    <row r="31" customFormat="false" ht="42" hidden="false" customHeight="true" outlineLevel="0" collapsed="false">
      <c r="A31" s="77" t="s">
        <v>939</v>
      </c>
      <c r="B31" s="7" t="s">
        <v>940</v>
      </c>
      <c r="C31" s="29" t="s">
        <v>941</v>
      </c>
      <c r="D31" s="10" t="n">
        <v>3</v>
      </c>
      <c r="E31" s="29"/>
      <c r="F31" s="29" t="str">
        <f aca="false">IF(E31="","",IF(UPPER(E31)="N/A","N/A",D31*E31))</f>
        <v/>
      </c>
      <c r="G31" s="30" t="s">
        <v>942</v>
      </c>
      <c r="H31" s="7"/>
    </row>
    <row r="32" customFormat="false" ht="39.75" hidden="false" customHeight="true" outlineLevel="0" collapsed="false">
      <c r="A32" s="77" t="s">
        <v>943</v>
      </c>
      <c r="B32" s="7" t="s">
        <v>944</v>
      </c>
      <c r="C32" s="29" t="s">
        <v>945</v>
      </c>
      <c r="D32" s="10" t="n">
        <v>3</v>
      </c>
      <c r="E32" s="29"/>
      <c r="F32" s="29" t="str">
        <f aca="false">IF(E32="","",IF(UPPER(E32)="N/A","N/A",D32*E32))</f>
        <v/>
      </c>
      <c r="G32" s="30" t="s">
        <v>946</v>
      </c>
      <c r="H32" s="7"/>
    </row>
    <row r="33" customFormat="false" ht="39.75" hidden="false" customHeight="true" outlineLevel="0" collapsed="false">
      <c r="A33" s="77" t="s">
        <v>947</v>
      </c>
      <c r="B33" s="7" t="s">
        <v>948</v>
      </c>
      <c r="C33" s="29" t="s">
        <v>384</v>
      </c>
      <c r="D33" s="10" t="n">
        <v>5</v>
      </c>
      <c r="E33" s="29"/>
      <c r="F33" s="29" t="str">
        <f aca="false">IF(E33="","",IF(UPPER(E33)="N/A","N/A",D33*E33))</f>
        <v/>
      </c>
      <c r="G33" s="30" t="s">
        <v>949</v>
      </c>
      <c r="H33" s="7"/>
    </row>
    <row r="34" customFormat="false" ht="39.75" hidden="false" customHeight="true" outlineLevel="0" collapsed="false">
      <c r="A34" s="77" t="s">
        <v>950</v>
      </c>
      <c r="B34" s="7" t="s">
        <v>951</v>
      </c>
      <c r="C34" s="29" t="s">
        <v>952</v>
      </c>
      <c r="D34" s="10" t="n">
        <v>5</v>
      </c>
      <c r="E34" s="29"/>
      <c r="F34" s="29" t="str">
        <f aca="false">IF(E34="","",IF(UPPER(E34)="N/A","N/A",D34*E34))</f>
        <v/>
      </c>
      <c r="G34" s="30" t="s">
        <v>953</v>
      </c>
      <c r="H34" s="7"/>
    </row>
    <row r="35" customFormat="false" ht="39.75" hidden="false" customHeight="true" outlineLevel="0" collapsed="false">
      <c r="A35" s="77" t="s">
        <v>954</v>
      </c>
      <c r="B35" s="7" t="s">
        <v>955</v>
      </c>
      <c r="C35" s="29" t="s">
        <v>384</v>
      </c>
      <c r="D35" s="10" t="n">
        <v>5</v>
      </c>
      <c r="E35" s="29"/>
      <c r="F35" s="29" t="str">
        <f aca="false">IF(E35="","",IF(UPPER(E35)="N/A","N/A",D35*E35))</f>
        <v/>
      </c>
      <c r="G35" s="30" t="s">
        <v>956</v>
      </c>
      <c r="H35" s="7"/>
    </row>
    <row r="36" customFormat="false" ht="42" hidden="false" customHeight="true" outlineLevel="0" collapsed="false">
      <c r="A36" s="77" t="s">
        <v>957</v>
      </c>
      <c r="B36" s="7" t="s">
        <v>958</v>
      </c>
      <c r="C36" s="29" t="s">
        <v>959</v>
      </c>
      <c r="D36" s="10" t="n">
        <v>4</v>
      </c>
      <c r="E36" s="29"/>
      <c r="F36" s="29" t="str">
        <f aca="false">IF(E36="","",IF(UPPER(E36)="N/A","N/A",D36*E36))</f>
        <v/>
      </c>
      <c r="G36" s="30" t="s">
        <v>960</v>
      </c>
      <c r="H36" s="7"/>
    </row>
    <row r="37" customFormat="false" ht="39.75" hidden="false" customHeight="true" outlineLevel="0" collapsed="false">
      <c r="A37" s="77" t="s">
        <v>961</v>
      </c>
      <c r="B37" s="7" t="s">
        <v>962</v>
      </c>
      <c r="C37" s="29" t="s">
        <v>963</v>
      </c>
      <c r="D37" s="10" t="n">
        <v>4</v>
      </c>
      <c r="E37" s="29"/>
      <c r="F37" s="29" t="str">
        <f aca="false">IF(E37="","",IF(UPPER(E37)="N/A","N/A",D37*E37))</f>
        <v/>
      </c>
      <c r="G37" s="30" t="s">
        <v>964</v>
      </c>
      <c r="H37" s="7"/>
    </row>
    <row r="38" customFormat="false" ht="39.75" hidden="false" customHeight="true" outlineLevel="0" collapsed="false">
      <c r="A38" s="77" t="s">
        <v>965</v>
      </c>
      <c r="B38" s="7" t="s">
        <v>966</v>
      </c>
      <c r="C38" s="29" t="s">
        <v>967</v>
      </c>
      <c r="D38" s="10" t="n">
        <v>5</v>
      </c>
      <c r="E38" s="29"/>
      <c r="F38" s="29" t="str">
        <f aca="false">IF(E38="","",IF(UPPER(E38)="N/A","N/A",D38*E38))</f>
        <v/>
      </c>
      <c r="G38" s="30" t="s">
        <v>968</v>
      </c>
      <c r="H38" s="7"/>
    </row>
    <row r="39" customFormat="false" ht="39.75" hidden="false" customHeight="true" outlineLevel="0" collapsed="false">
      <c r="A39" s="77" t="s">
        <v>969</v>
      </c>
      <c r="B39" s="7" t="s">
        <v>970</v>
      </c>
      <c r="C39" s="29" t="s">
        <v>937</v>
      </c>
      <c r="D39" s="10" t="n">
        <v>3</v>
      </c>
      <c r="E39" s="29"/>
      <c r="F39" s="29" t="str">
        <f aca="false">IF(E39="","",IF(UPPER(E39)="N/A","N/A",D39*E39))</f>
        <v/>
      </c>
      <c r="G39" s="30" t="s">
        <v>971</v>
      </c>
      <c r="H39" s="7"/>
    </row>
    <row r="40" customFormat="false" ht="39.75" hidden="false" customHeight="true" outlineLevel="0" collapsed="false">
      <c r="A40" s="77" t="s">
        <v>972</v>
      </c>
      <c r="B40" s="7" t="s">
        <v>973</v>
      </c>
      <c r="C40" s="29" t="s">
        <v>974</v>
      </c>
      <c r="D40" s="10" t="n">
        <v>3</v>
      </c>
      <c r="E40" s="29"/>
      <c r="F40" s="29" t="str">
        <f aca="false">IF(E40="","",IF(UPPER(E40)="N/A","N/A",D40*E40))</f>
        <v/>
      </c>
      <c r="G40" s="30" t="s">
        <v>975</v>
      </c>
      <c r="H40" s="7"/>
    </row>
    <row r="41" customFormat="false" ht="39.75" hidden="false" customHeight="true" outlineLevel="0" collapsed="false">
      <c r="A41" s="77" t="s">
        <v>976</v>
      </c>
      <c r="B41" s="7" t="s">
        <v>977</v>
      </c>
      <c r="C41" s="29" t="s">
        <v>927</v>
      </c>
      <c r="D41" s="10" t="n">
        <v>3</v>
      </c>
      <c r="E41" s="29"/>
      <c r="F41" s="29" t="str">
        <f aca="false">IF(E41="","",IF(UPPER(E41)="N/A","N/A",D41*E41))</f>
        <v/>
      </c>
      <c r="G41" s="30" t="s">
        <v>978</v>
      </c>
      <c r="H41" s="7"/>
    </row>
    <row r="42" customFormat="false" ht="42" hidden="false" customHeight="true" outlineLevel="0" collapsed="false">
      <c r="A42" s="77" t="s">
        <v>979</v>
      </c>
      <c r="B42" s="7" t="s">
        <v>980</v>
      </c>
      <c r="C42" s="29" t="s">
        <v>981</v>
      </c>
      <c r="D42" s="10" t="n">
        <v>4</v>
      </c>
      <c r="E42" s="29"/>
      <c r="F42" s="29" t="str">
        <f aca="false">IF(E42="","",IF(UPPER(E42)="N/A","N/A",D42*E42))</f>
        <v/>
      </c>
      <c r="G42" s="30" t="s">
        <v>982</v>
      </c>
      <c r="H42" s="7"/>
    </row>
    <row r="43" customFormat="false" ht="39.75" hidden="false" customHeight="true" outlineLevel="0" collapsed="false">
      <c r="A43" s="77" t="s">
        <v>983</v>
      </c>
      <c r="B43" s="7" t="s">
        <v>984</v>
      </c>
      <c r="C43" s="29" t="s">
        <v>985</v>
      </c>
      <c r="D43" s="10" t="n">
        <v>3</v>
      </c>
      <c r="E43" s="29"/>
      <c r="F43" s="29" t="str">
        <f aca="false">IF(E43="","",IF(UPPER(E43)="N/A","N/A",D43*E43))</f>
        <v/>
      </c>
      <c r="G43" s="30" t="s">
        <v>986</v>
      </c>
      <c r="H43" s="7"/>
    </row>
    <row r="44" customFormat="false" ht="42" hidden="false" customHeight="true" outlineLevel="0" collapsed="false">
      <c r="A44" s="77" t="s">
        <v>987</v>
      </c>
      <c r="B44" s="7" t="s">
        <v>988</v>
      </c>
      <c r="C44" s="29" t="s">
        <v>911</v>
      </c>
      <c r="D44" s="10" t="n">
        <v>4</v>
      </c>
      <c r="E44" s="29"/>
      <c r="F44" s="29" t="str">
        <f aca="false">IF(E44="","",IF(UPPER(E44)="N/A","N/A",D44*E44))</f>
        <v/>
      </c>
      <c r="G44" s="30" t="s">
        <v>989</v>
      </c>
      <c r="H44" s="7"/>
    </row>
    <row r="45" customFormat="false" ht="39.75" hidden="false" customHeight="true" outlineLevel="0" collapsed="false">
      <c r="A45" s="77" t="s">
        <v>990</v>
      </c>
      <c r="B45" s="7" t="s">
        <v>991</v>
      </c>
      <c r="C45" s="29" t="s">
        <v>992</v>
      </c>
      <c r="D45" s="10" t="n">
        <v>3</v>
      </c>
      <c r="E45" s="29"/>
      <c r="F45" s="29" t="str">
        <f aca="false">IF(E45="","",IF(UPPER(E45)="N/A","N/A",D45*E45))</f>
        <v/>
      </c>
      <c r="G45" s="30" t="s">
        <v>993</v>
      </c>
      <c r="H45" s="7"/>
    </row>
    <row r="46" customFormat="false" ht="39.75" hidden="false" customHeight="true" outlineLevel="0" collapsed="false">
      <c r="A46" s="77" t="s">
        <v>994</v>
      </c>
      <c r="B46" s="7" t="s">
        <v>995</v>
      </c>
      <c r="C46" s="29" t="s">
        <v>996</v>
      </c>
      <c r="D46" s="10" t="n">
        <v>1</v>
      </c>
      <c r="E46" s="29"/>
      <c r="F46" s="29" t="str">
        <f aca="false">IF(E46="","",IF(UPPER(E46)="N/A","N/A",D46*E46))</f>
        <v/>
      </c>
      <c r="G46" s="30" t="s">
        <v>997</v>
      </c>
      <c r="H46" s="7"/>
    </row>
    <row r="48" customFormat="false" ht="31.5" hidden="false" customHeight="true" outlineLevel="0" collapsed="false">
      <c r="A48" s="75" t="s">
        <v>181</v>
      </c>
      <c r="B48" s="75"/>
      <c r="C48" s="75"/>
      <c r="D48" s="75"/>
      <c r="E48" s="75"/>
      <c r="F48" s="75"/>
      <c r="G48" s="75"/>
      <c r="H48" s="75"/>
    </row>
    <row r="49" customFormat="false" ht="36" hidden="false" customHeight="true" outlineLevel="0" collapsed="false">
      <c r="A49" s="20" t="s">
        <v>182</v>
      </c>
      <c r="B49" s="31" t="n">
        <f aca="false">SUMPRODUCT(IFERROR((F22:F46+0),0))</f>
        <v>0</v>
      </c>
      <c r="C49" s="20" t="s">
        <v>183</v>
      </c>
      <c r="D49" s="31" t="n">
        <f aca="false">SUMPRODUCT((F22:F46&lt;&gt;"N/A")*(F22:F46&lt;&gt;"")*(D22:D46*2))</f>
        <v>0</v>
      </c>
      <c r="E49" s="20" t="s">
        <v>15</v>
      </c>
      <c r="F49" s="78" t="str">
        <f aca="false">IFERROR(B49/D49,"")</f>
        <v/>
      </c>
      <c r="G49" s="20" t="s">
        <v>16</v>
      </c>
      <c r="H49" s="33" t="str">
        <f aca="false">IFERROR(IF(F49="","",IF(F49&gt;=0.95,"Compliant",IF(F49&gt;=0.85,"Substantially compliant",IF(F49&gt;=0.7,"Partially compliant","Non-compliant")))),"")</f>
        <v/>
      </c>
    </row>
    <row r="51" customFormat="false" ht="15" hidden="false" customHeight="false" outlineLevel="0" collapsed="false">
      <c r="A51" s="34" t="s">
        <v>184</v>
      </c>
      <c r="B51" s="34"/>
      <c r="C51" s="34"/>
      <c r="D51" s="34"/>
      <c r="E51" s="34"/>
      <c r="F51" s="34"/>
      <c r="G51" s="34"/>
      <c r="H51" s="34"/>
    </row>
    <row r="53" customFormat="false" ht="31.5" hidden="false" customHeight="true" outlineLevel="0" collapsed="false">
      <c r="A53" s="75" t="s">
        <v>185</v>
      </c>
      <c r="B53" s="75"/>
      <c r="C53" s="75"/>
      <c r="D53" s="75"/>
      <c r="E53" s="75"/>
      <c r="F53" s="75"/>
      <c r="G53" s="75"/>
      <c r="H53" s="75"/>
    </row>
    <row r="54" customFormat="false" ht="25.5" hidden="false" customHeight="true" outlineLevel="0" collapsed="false">
      <c r="A54" s="35" t="s">
        <v>186</v>
      </c>
      <c r="B54" s="35"/>
      <c r="C54" s="35"/>
      <c r="D54" s="35"/>
      <c r="E54" s="35"/>
      <c r="F54" s="35"/>
      <c r="G54" s="35"/>
      <c r="H54" s="35"/>
    </row>
    <row r="55" customFormat="false" ht="25.5" hidden="false" customHeight="true" outlineLevel="0" collapsed="false">
      <c r="A55" s="35"/>
      <c r="B55" s="35"/>
      <c r="C55" s="35"/>
      <c r="D55" s="35"/>
      <c r="E55" s="35"/>
      <c r="F55" s="35"/>
      <c r="G55" s="35"/>
      <c r="H55" s="35"/>
    </row>
    <row r="56" customFormat="false" ht="25.5" hidden="false" customHeight="true" outlineLevel="0" collapsed="false">
      <c r="A56" s="35"/>
      <c r="B56" s="35"/>
      <c r="C56" s="35"/>
      <c r="D56" s="35"/>
      <c r="E56" s="35"/>
      <c r="F56" s="35"/>
      <c r="G56" s="35"/>
      <c r="H56" s="35"/>
    </row>
    <row r="57" customFormat="false" ht="25.5" hidden="false" customHeight="true" outlineLevel="0" collapsed="false">
      <c r="A57" s="35"/>
      <c r="B57" s="35"/>
      <c r="C57" s="35"/>
      <c r="D57" s="35"/>
      <c r="E57" s="35"/>
      <c r="F57" s="35"/>
      <c r="G57" s="35"/>
      <c r="H57" s="35"/>
    </row>
    <row r="59" customFormat="false" ht="31.5" hidden="false" customHeight="true" outlineLevel="0" collapsed="false">
      <c r="A59" s="75" t="s">
        <v>187</v>
      </c>
      <c r="B59" s="75"/>
      <c r="C59" s="75"/>
      <c r="D59" s="75"/>
      <c r="E59" s="75"/>
      <c r="F59" s="75"/>
      <c r="G59" s="75"/>
      <c r="H59" s="75"/>
    </row>
    <row r="60" customFormat="false" ht="25.5" hidden="false" customHeight="true" outlineLevel="0" collapsed="false">
      <c r="A60" s="35" t="s">
        <v>188</v>
      </c>
      <c r="B60" s="35"/>
      <c r="C60" s="35"/>
      <c r="D60" s="35"/>
      <c r="E60" s="35"/>
      <c r="F60" s="35"/>
      <c r="G60" s="35"/>
      <c r="H60" s="35"/>
    </row>
    <row r="61" customFormat="false" ht="25.5" hidden="false" customHeight="true" outlineLevel="0" collapsed="false">
      <c r="A61" s="35"/>
      <c r="B61" s="35"/>
      <c r="C61" s="35"/>
      <c r="D61" s="35"/>
      <c r="E61" s="35"/>
      <c r="F61" s="35"/>
      <c r="G61" s="35"/>
      <c r="H61" s="35"/>
    </row>
    <row r="62" customFormat="false" ht="25.5" hidden="false" customHeight="true" outlineLevel="0" collapsed="false">
      <c r="A62" s="35"/>
      <c r="B62" s="35"/>
      <c r="C62" s="35"/>
      <c r="D62" s="35"/>
      <c r="E62" s="35"/>
      <c r="F62" s="35"/>
      <c r="G62" s="35"/>
      <c r="H62" s="35"/>
    </row>
    <row r="64" customFormat="false" ht="31.5" hidden="false" customHeight="true" outlineLevel="0" collapsed="false">
      <c r="A64" s="75" t="s">
        <v>189</v>
      </c>
      <c r="B64" s="75"/>
      <c r="C64" s="75"/>
      <c r="D64" s="75"/>
      <c r="E64" s="75"/>
      <c r="F64" s="75"/>
      <c r="G64" s="75"/>
      <c r="H64" s="75"/>
    </row>
    <row r="65" customFormat="false" ht="27.75" hidden="false" customHeight="true" outlineLevel="0" collapsed="false">
      <c r="A65" s="76" t="s">
        <v>190</v>
      </c>
      <c r="B65" s="76" t="s">
        <v>191</v>
      </c>
      <c r="C65" s="76" t="s">
        <v>12</v>
      </c>
      <c r="D65" s="76" t="s">
        <v>192</v>
      </c>
      <c r="E65" s="76" t="s">
        <v>193</v>
      </c>
      <c r="F65" s="76" t="s">
        <v>194</v>
      </c>
      <c r="G65" s="76" t="s">
        <v>195</v>
      </c>
      <c r="H65" s="76" t="s">
        <v>196</v>
      </c>
    </row>
    <row r="66" customFormat="false" ht="27.75" hidden="false" customHeight="true" outlineLevel="0" collapsed="false">
      <c r="A66" s="10" t="n">
        <v>1</v>
      </c>
      <c r="B66" s="7"/>
      <c r="C66" s="7"/>
      <c r="D66" s="8"/>
      <c r="E66" s="7"/>
      <c r="F66" s="7"/>
      <c r="G66" s="7"/>
      <c r="H66" s="8"/>
    </row>
    <row r="67" customFormat="false" ht="27.75" hidden="false" customHeight="true" outlineLevel="0" collapsed="false">
      <c r="A67" s="10" t="n">
        <v>2</v>
      </c>
      <c r="B67" s="7"/>
      <c r="C67" s="7"/>
      <c r="D67" s="8"/>
      <c r="E67" s="7"/>
      <c r="F67" s="7"/>
      <c r="G67" s="7"/>
      <c r="H67" s="8"/>
    </row>
    <row r="68" customFormat="false" ht="27.75" hidden="false" customHeight="true" outlineLevel="0" collapsed="false">
      <c r="A68" s="10" t="n">
        <v>3</v>
      </c>
      <c r="B68" s="7"/>
      <c r="C68" s="7"/>
      <c r="D68" s="8"/>
      <c r="E68" s="7"/>
      <c r="F68" s="7"/>
      <c r="G68" s="7"/>
      <c r="H68" s="8"/>
    </row>
    <row r="69" customFormat="false" ht="27.75" hidden="false" customHeight="true" outlineLevel="0" collapsed="false">
      <c r="A69" s="10" t="n">
        <v>4</v>
      </c>
      <c r="B69" s="7"/>
      <c r="C69" s="7"/>
      <c r="D69" s="8"/>
      <c r="E69" s="7"/>
      <c r="F69" s="7"/>
      <c r="G69" s="7"/>
      <c r="H69" s="8"/>
    </row>
    <row r="70" customFormat="false" ht="27.75" hidden="false" customHeight="true" outlineLevel="0" collapsed="false">
      <c r="A70" s="10" t="n">
        <v>5</v>
      </c>
      <c r="B70" s="7"/>
      <c r="C70" s="7"/>
      <c r="D70" s="8"/>
      <c r="E70" s="7"/>
      <c r="F70" s="7"/>
      <c r="G70" s="7"/>
      <c r="H70" s="8"/>
    </row>
    <row r="71" customFormat="false" ht="27.75" hidden="false" customHeight="true" outlineLevel="0" collapsed="false">
      <c r="A71" s="10" t="n">
        <v>6</v>
      </c>
      <c r="B71" s="7"/>
      <c r="C71" s="7"/>
      <c r="D71" s="8"/>
      <c r="E71" s="7"/>
      <c r="F71" s="7"/>
      <c r="G71" s="7"/>
      <c r="H71" s="8"/>
    </row>
    <row r="72" customFormat="false" ht="27.75" hidden="false" customHeight="true" outlineLevel="0" collapsed="false">
      <c r="A72" s="10" t="n">
        <v>7</v>
      </c>
      <c r="B72" s="7"/>
      <c r="C72" s="7"/>
      <c r="D72" s="8"/>
      <c r="E72" s="7"/>
      <c r="F72" s="7"/>
      <c r="G72" s="7"/>
      <c r="H72" s="8"/>
    </row>
    <row r="73" customFormat="false" ht="27.75" hidden="false" customHeight="true" outlineLevel="0" collapsed="false">
      <c r="A73" s="10" t="n">
        <v>8</v>
      </c>
      <c r="B73" s="7"/>
      <c r="C73" s="7"/>
      <c r="D73" s="8"/>
      <c r="E73" s="7"/>
      <c r="F73" s="7"/>
      <c r="G73" s="7"/>
      <c r="H73" s="8"/>
    </row>
    <row r="75" customFormat="false" ht="31.5" hidden="false" customHeight="true" outlineLevel="0" collapsed="false">
      <c r="A75" s="75" t="s">
        <v>197</v>
      </c>
      <c r="B75" s="75"/>
      <c r="C75" s="75"/>
      <c r="D75" s="75"/>
      <c r="E75" s="75"/>
      <c r="F75" s="75"/>
      <c r="G75" s="75"/>
      <c r="H75" s="75"/>
    </row>
    <row r="76" customFormat="false" ht="24" hidden="false" customHeight="true" outlineLevel="0" collapsed="false">
      <c r="A76" s="36" t="s">
        <v>198</v>
      </c>
      <c r="B76" s="36"/>
      <c r="C76" s="36" t="s">
        <v>199</v>
      </c>
      <c r="D76" s="36"/>
      <c r="E76" s="36" t="s">
        <v>200</v>
      </c>
      <c r="F76" s="36"/>
      <c r="G76" s="36" t="s">
        <v>201</v>
      </c>
      <c r="H76" s="36"/>
    </row>
    <row r="77" customFormat="false" ht="30" hidden="false" customHeight="true" outlineLevel="0" collapsed="false">
      <c r="A77" s="37" t="s">
        <v>202</v>
      </c>
      <c r="B77" s="37"/>
      <c r="C77" s="38"/>
      <c r="D77" s="38"/>
      <c r="E77" s="38"/>
      <c r="F77" s="38"/>
      <c r="G77" s="39"/>
      <c r="H77" s="39"/>
    </row>
    <row r="78" customFormat="false" ht="30" hidden="false" customHeight="true" outlineLevel="0" collapsed="false">
      <c r="A78" s="37" t="s">
        <v>203</v>
      </c>
      <c r="B78" s="37"/>
      <c r="C78" s="38"/>
      <c r="D78" s="38"/>
      <c r="E78" s="38"/>
      <c r="F78" s="38"/>
      <c r="G78" s="39"/>
      <c r="H78" s="39"/>
    </row>
    <row r="79" customFormat="false" ht="30" hidden="false" customHeight="true" outlineLevel="0" collapsed="false">
      <c r="A79" s="37" t="s">
        <v>204</v>
      </c>
      <c r="B79" s="37"/>
      <c r="C79" s="38"/>
      <c r="D79" s="38"/>
      <c r="E79" s="38"/>
      <c r="F79" s="38"/>
      <c r="G79" s="39"/>
      <c r="H79" s="39"/>
    </row>
    <row r="80" customFormat="false" ht="30" hidden="false" customHeight="true" outlineLevel="0" collapsed="false">
      <c r="A80" s="37" t="s">
        <v>205</v>
      </c>
      <c r="B80" s="37"/>
      <c r="C80" s="38"/>
      <c r="D80" s="38"/>
      <c r="E80" s="38"/>
      <c r="F80" s="38"/>
      <c r="G80" s="39"/>
      <c r="H80" s="39"/>
    </row>
  </sheetData>
  <mergeCells count="32">
    <mergeCell ref="A1:H1"/>
    <mergeCell ref="B3:H3"/>
    <mergeCell ref="B4:H4"/>
    <mergeCell ref="B5:H5"/>
    <mergeCell ref="B6:H6"/>
    <mergeCell ref="B7:H7"/>
    <mergeCell ref="B8:H8"/>
    <mergeCell ref="B9:H9"/>
    <mergeCell ref="B10:H10"/>
    <mergeCell ref="A12:H12"/>
    <mergeCell ref="B13:H13"/>
    <mergeCell ref="B14:H14"/>
    <mergeCell ref="B15:H15"/>
    <mergeCell ref="A17:H17"/>
    <mergeCell ref="A18:H18"/>
    <mergeCell ref="A20:H20"/>
    <mergeCell ref="A48:H48"/>
    <mergeCell ref="A51:H51"/>
    <mergeCell ref="A53:H53"/>
    <mergeCell ref="A54:H57"/>
    <mergeCell ref="A59:H59"/>
    <mergeCell ref="A60:H62"/>
    <mergeCell ref="A64:H64"/>
    <mergeCell ref="A75:H75"/>
    <mergeCell ref="A76:B76"/>
    <mergeCell ref="C76:D76"/>
    <mergeCell ref="E76:F76"/>
    <mergeCell ref="G76:H76"/>
    <mergeCell ref="A77:B77"/>
    <mergeCell ref="A78:B78"/>
    <mergeCell ref="A79:B79"/>
    <mergeCell ref="A80:B80"/>
  </mergeCells>
  <conditionalFormatting sqref="E22:E46">
    <cfRule type="cellIs" priority="2" operator="equal" aboveAverage="0" equalAverage="0" bottom="0" percent="0" rank="0" text="" dxfId="3">
      <formula>"0"</formula>
    </cfRule>
    <cfRule type="cellIs" priority="3" operator="equal" aboveAverage="0" equalAverage="0" bottom="0" percent="0" rank="0" text="" dxfId="3">
      <formula>0</formula>
    </cfRule>
    <cfRule type="cellIs" priority="4" operator="equal" aboveAverage="0" equalAverage="0" bottom="0" percent="0" rank="0" text="" dxfId="4">
      <formula>"1"</formula>
    </cfRule>
    <cfRule type="cellIs" priority="5" operator="equal" aboveAverage="0" equalAverage="0" bottom="0" percent="0" rank="0" text="" dxfId="4">
      <formula>1</formula>
    </cfRule>
    <cfRule type="cellIs" priority="6" operator="equal" aboveAverage="0" equalAverage="0" bottom="0" percent="0" rank="0" text="" dxfId="0">
      <formula>"2"</formula>
    </cfRule>
    <cfRule type="cellIs" priority="7" operator="equal" aboveAverage="0" equalAverage="0" bottom="0" percent="0" rank="0" text="" dxfId="0">
      <formula>2</formula>
    </cfRule>
  </conditionalFormatting>
  <conditionalFormatting sqref="H49">
    <cfRule type="cellIs" priority="8" operator="equal" aboveAverage="0" equalAverage="0" bottom="0" percent="0" rank="0" text="" dxfId="5">
      <formula>"Compliant"</formula>
    </cfRule>
    <cfRule type="cellIs" priority="9" operator="equal" aboveAverage="0" equalAverage="0" bottom="0" percent="0" rank="0" text="" dxfId="6">
      <formula>"Substantially compliant"</formula>
    </cfRule>
    <cfRule type="cellIs" priority="10" operator="equal" aboveAverage="0" equalAverage="0" bottom="0" percent="0" rank="0" text="" dxfId="7">
      <formula>"Partially compliant"</formula>
    </cfRule>
    <cfRule type="cellIs" priority="11" operator="equal" aboveAverage="0" equalAverage="0" bottom="0" percent="0" rank="0" text="" dxfId="8">
      <formula>"Non-compliant"</formula>
    </cfRule>
  </conditionalFormatting>
  <dataValidations count="2">
    <dataValidation allowBlank="true" errorStyle="stop" operator="between" showDropDown="false" showErrorMessage="false" showInputMessage="false" sqref="E22:E46" type="list">
      <formula1>"0,1,2,N/A"</formula1>
      <formula2>0</formula2>
    </dataValidation>
    <dataValidation allowBlank="true" errorStyle="stop" operator="between" showDropDown="false" showErrorMessage="false" showInputMessage="false" sqref="E66:E73"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2026-05-16T09:37:03Z</dcterms:created>
  <dc:creator>openpyxl</dc:creator>
  <dc:description/>
  <dc:language>en-US</dc:language>
  <cp:lastModifiedBy/>
  <dcterms:modified xsi:type="dcterms:W3CDTF">2026-05-16T09:37:03Z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