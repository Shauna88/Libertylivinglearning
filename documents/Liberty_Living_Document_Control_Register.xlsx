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ocument Register" sheetId="1" state="visible" r:id="rId3"/>
    <sheet name="Summary" sheetId="2" state="visible" r:id="rId4"/>
  </sheets>
  <definedNames>
    <definedName function="false" hidden="true" localSheetId="0" name="_xlnm._FilterDatabase" vbProcedure="false">'Document Register'!$A$3:$K$45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<sst xmlns="http://schemas.openxmlformats.org/spreadsheetml/2006/main" count="283" uniqueCount="124">
  <si>
    <t xml:space="preserve">LIBERTY LIVING HOMECARE — DOCUMENT CONTROL REGISTER</t>
  </si>
  <si>
    <t xml:space="preserve">Code</t>
  </si>
  <si>
    <t xml:space="preserve">Title</t>
  </si>
  <si>
    <t xml:space="preserve">Section</t>
  </si>
  <si>
    <t xml:space="preserve">Owner</t>
  </si>
  <si>
    <t xml:space="preserve">Approved by</t>
  </si>
  <si>
    <t xml:space="preserve">Version</t>
  </si>
  <si>
    <t xml:space="preserve">Effective from</t>
  </si>
  <si>
    <t xml:space="preserve">Review due</t>
  </si>
  <si>
    <t xml:space="preserve">Days to review</t>
  </si>
  <si>
    <t xml:space="preserve">Status</t>
  </si>
  <si>
    <t xml:space="preserve">Staff sign-off %</t>
  </si>
  <si>
    <t xml:space="preserve">GOV-01</t>
  </si>
  <si>
    <t xml:space="preserve">Mission Statement</t>
  </si>
  <si>
    <t xml:space="preserve">Governance</t>
  </si>
  <si>
    <t xml:space="preserve">CEO</t>
  </si>
  <si>
    <t xml:space="preserve">CEO Shauna Delaney</t>
  </si>
  <si>
    <t xml:space="preserve">Current</t>
  </si>
  <si>
    <t xml:space="preserve">GOV-11</t>
  </si>
  <si>
    <t xml:space="preserve">Business Continuity Planning Policy</t>
  </si>
  <si>
    <t xml:space="preserve">Director of Operations</t>
  </si>
  <si>
    <t xml:space="preserve">GOV-12</t>
  </si>
  <si>
    <t xml:space="preserve">Service User Guide</t>
  </si>
  <si>
    <t xml:space="preserve">Director of Quality</t>
  </si>
  <si>
    <t xml:space="preserve">GOV-21</t>
  </si>
  <si>
    <t xml:space="preserve">Statement of Purpose</t>
  </si>
  <si>
    <t xml:space="preserve">GOV-25</t>
  </si>
  <si>
    <t xml:space="preserve">Service Delivery for HSE Home Support Services Policy and Procedure</t>
  </si>
  <si>
    <t xml:space="preserve">GOV-35</t>
  </si>
  <si>
    <t xml:space="preserve">Clinical Governance Framework</t>
  </si>
  <si>
    <t xml:space="preserve">CEO (Implementation: Director of Quality &amp; Compliance)</t>
  </si>
  <si>
    <t xml:space="preserve">GOV-36</t>
  </si>
  <si>
    <t xml:space="preserve">Engagement with External Agencies Policy</t>
  </si>
  <si>
    <t xml:space="preserve">CARE-02</t>
  </si>
  <si>
    <t xml:space="preserve">Autonomy and Service User Rights Policy</t>
  </si>
  <si>
    <t xml:space="preserve">Care</t>
  </si>
  <si>
    <t xml:space="preserve">CARE-06</t>
  </si>
  <si>
    <t xml:space="preserve">Consent Policy (Incorporating Assisted Decision-Making (Capacity) Act 2015)</t>
  </si>
  <si>
    <t xml:space="preserve">Clinical Lead</t>
  </si>
  <si>
    <t xml:space="preserve">CARE-08</t>
  </si>
  <si>
    <t xml:space="preserve">Assessment and Care Planning Policy and Procedure</t>
  </si>
  <si>
    <t xml:space="preserve">CARE-09</t>
  </si>
  <si>
    <t xml:space="preserve">Financial Abuse Policy</t>
  </si>
  <si>
    <t xml:space="preserve">Director of Care</t>
  </si>
  <si>
    <t xml:space="preserve">CARE-17</t>
  </si>
  <si>
    <t xml:space="preserve">Managing Service User Money and Property Policy</t>
  </si>
  <si>
    <t xml:space="preserve">CARE-20</t>
  </si>
  <si>
    <t xml:space="preserve">Medication Management Policy and Procedure</t>
  </si>
  <si>
    <t xml:space="preserve">CARE-26</t>
  </si>
  <si>
    <t xml:space="preserve">Dementia Care Policy and Procedure</t>
  </si>
  <si>
    <t xml:space="preserve">CARE-27</t>
  </si>
  <si>
    <t xml:space="preserve">Person-Centred Enablement Policy (Incorporating Advocacy Arrangements)</t>
  </si>
  <si>
    <t xml:space="preserve">CARE-32</t>
  </si>
  <si>
    <t xml:space="preserve">Falls Prevention and Management Policy</t>
  </si>
  <si>
    <t xml:space="preserve">CARE-33</t>
  </si>
  <si>
    <t xml:space="preserve">Personal and Intimate Care Policy and Procedure</t>
  </si>
  <si>
    <t xml:space="preserve">HS-04</t>
  </si>
  <si>
    <t xml:space="preserve">Communications and Service User Education Material Policy and Procedure</t>
  </si>
  <si>
    <t xml:space="preserve">Health &amp; Safety</t>
  </si>
  <si>
    <t xml:space="preserve">HS-07</t>
  </si>
  <si>
    <t xml:space="preserve">Management of Responsive Behaviour Policy and Procedure</t>
  </si>
  <si>
    <t xml:space="preserve">HS-10</t>
  </si>
  <si>
    <t xml:space="preserve">Health and Safety Policy and Procedure</t>
  </si>
  <si>
    <t xml:space="preserve">HS-15</t>
  </si>
  <si>
    <t xml:space="preserve">Infection Prevention and Control (including COVID-19)</t>
  </si>
  <si>
    <t xml:space="preserve">HS-16</t>
  </si>
  <si>
    <t xml:space="preserve">Lone Worker Policy</t>
  </si>
  <si>
    <t xml:space="preserve">HS-18</t>
  </si>
  <si>
    <t xml:space="preserve">Manual and People Handling Policy and Procedure</t>
  </si>
  <si>
    <t xml:space="preserve">HS-23</t>
  </si>
  <si>
    <t xml:space="preserve">Safeguarding and Protection of Service Users Policy</t>
  </si>
  <si>
    <t xml:space="preserve">HS-23.1</t>
  </si>
  <si>
    <t xml:space="preserve">Responding to and Reporting Allegations of Abuse Policy and Procedure</t>
  </si>
  <si>
    <t xml:space="preserve">HS-24</t>
  </si>
  <si>
    <t xml:space="preserve">Environmental Safety and Security of Service Users' Homes Policy</t>
  </si>
  <si>
    <t xml:space="preserve">HS-28</t>
  </si>
  <si>
    <t xml:space="preserve">Child Protection and Welfare Policy and Procedure</t>
  </si>
  <si>
    <t xml:space="preserve">HS-31</t>
  </si>
  <si>
    <t xml:space="preserve">Risk Management Policy and Procedure</t>
  </si>
  <si>
    <t xml:space="preserve">HS-34</t>
  </si>
  <si>
    <t xml:space="preserve">Hand Hygiene Techniques Policy</t>
  </si>
  <si>
    <t xml:space="preserve">HR-14</t>
  </si>
  <si>
    <t xml:space="preserve">Staff Induction, Training and Supervision Policy and Procedure</t>
  </si>
  <si>
    <t xml:space="preserve">HR</t>
  </si>
  <si>
    <t xml:space="preserve">HR-19</t>
  </si>
  <si>
    <t xml:space="preserve">Disciplinary and Grievance Policy</t>
  </si>
  <si>
    <t xml:space="preserve">HR-29</t>
  </si>
  <si>
    <t xml:space="preserve">Staff Recruitment, Retention and Allocation Policy and Procedure</t>
  </si>
  <si>
    <t xml:space="preserve">HR-38</t>
  </si>
  <si>
    <t xml:space="preserve">Professional Boundaries Policy</t>
  </si>
  <si>
    <t xml:space="preserve">QA-03</t>
  </si>
  <si>
    <t xml:space="preserve">Complaints Policy and Procedure</t>
  </si>
  <si>
    <t xml:space="preserve">Quality Assurance</t>
  </si>
  <si>
    <t xml:space="preserve">QA-03.2</t>
  </si>
  <si>
    <t xml:space="preserve">Management of Service User Feedback Policy</t>
  </si>
  <si>
    <t xml:space="preserve">QA-13</t>
  </si>
  <si>
    <t xml:space="preserve">Incident Management and Open Disclosure Policy</t>
  </si>
  <si>
    <t xml:space="preserve">QA-22</t>
  </si>
  <si>
    <t xml:space="preserve">Monitoring of Service Quality and Safety Policy</t>
  </si>
  <si>
    <t xml:space="preserve">QA-22.1</t>
  </si>
  <si>
    <t xml:space="preserve">Quality Audit Management Policy</t>
  </si>
  <si>
    <t xml:space="preserve">QA-37</t>
  </si>
  <si>
    <t xml:space="preserve">Protected Disclosures Policy</t>
  </si>
  <si>
    <t xml:space="preserve">QA-SOP-CMP-01</t>
  </si>
  <si>
    <t xml:space="preserve">Master Complaints Log</t>
  </si>
  <si>
    <t xml:space="preserve">Director of Quality (Complaints Officer maintains)</t>
  </si>
  <si>
    <t xml:space="preserve">IM-05</t>
  </si>
  <si>
    <t xml:space="preserve">Management of Personal Data in line with Data Protection Requirements (incorporating GDPR)</t>
  </si>
  <si>
    <t xml:space="preserve">Information Management</t>
  </si>
  <si>
    <t xml:space="preserve">IM-30</t>
  </si>
  <si>
    <t xml:space="preserve">Record Keeping Policy and Procedure</t>
  </si>
  <si>
    <t xml:space="preserve">Document Control — Summary</t>
  </si>
  <si>
    <t xml:space="preserve">Total policies</t>
  </si>
  <si>
    <t xml:space="preserve">Policies marked Current</t>
  </si>
  <si>
    <t xml:space="preserve">Policies due in 90 days</t>
  </si>
  <si>
    <t xml:space="preserve">Policies overdue for review</t>
  </si>
  <si>
    <t xml:space="preserve">% policies with review date</t>
  </si>
  <si>
    <t xml:space="preserve">By section</t>
  </si>
  <si>
    <t xml:space="preserve">How to use</t>
  </si>
  <si>
    <t xml:space="preserve">• Enter the Effective From and Review Due dates from each approved policy header.</t>
  </si>
  <si>
    <t xml:space="preserve">• Status auto-calculates: Current / Due &lt;90 days / Due &lt;30 days / OVERDUE.</t>
  </si>
  <si>
    <t xml:space="preserve">• Update Staff sign-off % monthly from your induction and refresher records.</t>
  </si>
  <si>
    <t xml:space="preserve">• Use AutoFilter on the register tab to view by section or status.</t>
  </si>
  <si>
    <t xml:space="preserve">• Bring this register to every CGC meeting — overdue review = an open QIP.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</si>
</sst>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0;[RED]\-0"/>
    <numFmt numFmtId="167" formatCode="0%"/>
    <numFmt numFmtId="168" formatCode="0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00838F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8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D32"/>
        <bgColor rgb="FF1B5E20"/>
      </patternFill>
    </fill>
    <fill>
      <patternFill patternType="solid">
        <fgColor rgb="FFC62828"/>
        <bgColor rgb="FFB71C1C"/>
      </patternFill>
    </fill>
    <fill>
      <patternFill patternType="solid">
        <fgColor rgb="FF6A1B9A"/>
        <bgColor rgb="FF800080"/>
      </patternFill>
    </fill>
    <fill>
      <patternFill patternType="solid">
        <fgColor rgb="FF00838F"/>
        <bgColor rgb="FF008080"/>
      </patternFill>
    </fill>
    <fill>
      <patternFill patternType="solid">
        <fgColor rgb="FFE65100"/>
        <bgColor rgb="FFC6282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0838F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ont>
        <name val="Arial"/>
        <charset val="1"/>
        <family val="0"/>
        <b val="1"/>
        <color rgb="FFB71C1C"/>
        <sz val="10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E65100"/>
        <sz val="10"/>
      </font>
      <fill>
        <patternFill>
          <bgColor rgb="FFFFE0B2"/>
        </patternFill>
      </fill>
    </dxf>
    <dxf>
      <font>
        <name val="Arial"/>
        <charset val="1"/>
        <family val="0"/>
        <b val="1"/>
        <color rgb="FF795548"/>
        <sz val="10"/>
      </font>
      <fill>
        <patternFill>
          <bgColor rgb="FFFFF59D"/>
        </patternFill>
      </fill>
    </dxf>
    <dxf>
      <font>
        <name val="Arial"/>
        <charset val="1"/>
        <family val="0"/>
        <b val="1"/>
        <color rgb="FF1B5E20"/>
        <sz val="10"/>
      </font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38F"/>
      <rgbColor rgb="FFBFBFBF"/>
      <rgbColor rgb="FF808080"/>
      <rgbColor rgb="FF9999FF"/>
      <rgbColor rgb="FF795548"/>
      <rgbColor rgb="FFFFFFCC"/>
      <rgbColor rgb="FFCCFFFF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003366"/>
      <rgbColor rgb="FF2E7D32"/>
      <rgbColor rgb="FF003300"/>
      <rgbColor rgb="FF333300"/>
      <rgbColor rgb="FFB71C1C"/>
      <rgbColor rgb="FFC62828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9" min="7" style="0" width="16"/>
    <col collapsed="false" customWidth="true" hidden="false" outlineLevel="0" max="10" min="10" style="0" width="18"/>
    <col collapsed="false" customWidth="true" hidden="false" outlineLevel="0" max="11" min="11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27.75" hidden="false" customHeight="true" outlineLevel="0" collapsed="false">
      <c r="A4" s="3" t="s">
        <v>12</v>
      </c>
      <c r="B4" s="4" t="s">
        <v>13</v>
      </c>
      <c r="C4" s="5" t="s">
        <v>14</v>
      </c>
      <c r="D4" s="4" t="s">
        <v>15</v>
      </c>
      <c r="E4" s="4" t="s">
        <v>16</v>
      </c>
      <c r="F4" s="6" t="s">
        <v>17</v>
      </c>
      <c r="G4" s="7"/>
      <c r="H4" s="7" t="n">
        <v>47173</v>
      </c>
      <c r="I4" s="8" t="n">
        <f aca="true">IF(H4="","",H4-TODAY())</f>
        <v>1015</v>
      </c>
      <c r="J4" s="9" t="str">
        <f aca="false">IF(H4="","No review date",IF(I4&lt;0,"OVERDUE",IF(I4&lt;=30,"Due &lt;30 days",IF(I4&lt;=90,"Due &lt;90 days","Current"))))</f>
        <v>Current</v>
      </c>
      <c r="K4" s="10"/>
    </row>
    <row r="5" customFormat="false" ht="27.75" hidden="false" customHeight="true" outlineLevel="0" collapsed="false">
      <c r="A5" s="3" t="s">
        <v>18</v>
      </c>
      <c r="B5" s="4" t="s">
        <v>19</v>
      </c>
      <c r="C5" s="5" t="s">
        <v>14</v>
      </c>
      <c r="D5" s="4" t="s">
        <v>20</v>
      </c>
      <c r="E5" s="4" t="s">
        <v>16</v>
      </c>
      <c r="F5" s="6" t="s">
        <v>17</v>
      </c>
      <c r="G5" s="7"/>
      <c r="H5" s="7" t="n">
        <v>46420</v>
      </c>
      <c r="I5" s="8" t="n">
        <f aca="true">IF(H5="","",H5-TODAY())</f>
        <v>262</v>
      </c>
      <c r="J5" s="9" t="str">
        <f aca="false">IF(H5="","No review date",IF(I5&lt;0,"OVERDUE",IF(I5&lt;=30,"Due &lt;30 days",IF(I5&lt;=90,"Due &lt;90 days","Current"))))</f>
        <v>Current</v>
      </c>
      <c r="K5" s="10"/>
    </row>
    <row r="6" customFormat="false" ht="27.75" hidden="false" customHeight="true" outlineLevel="0" collapsed="false">
      <c r="A6" s="3" t="s">
        <v>21</v>
      </c>
      <c r="B6" s="4" t="s">
        <v>22</v>
      </c>
      <c r="C6" s="5" t="s">
        <v>14</v>
      </c>
      <c r="D6" s="4" t="s">
        <v>23</v>
      </c>
      <c r="E6" s="4" t="s">
        <v>16</v>
      </c>
      <c r="F6" s="6" t="s">
        <v>17</v>
      </c>
      <c r="G6" s="7"/>
      <c r="H6" s="7" t="n">
        <v>47168</v>
      </c>
      <c r="I6" s="8" t="n">
        <f aca="true">IF(H6="","",H6-TODAY())</f>
        <v>1010</v>
      </c>
      <c r="J6" s="9" t="str">
        <f aca="false">IF(H6="","No review date",IF(I6&lt;0,"OVERDUE",IF(I6&lt;=30,"Due &lt;30 days",IF(I6&lt;=90,"Due &lt;90 days","Current"))))</f>
        <v>Current</v>
      </c>
      <c r="K6" s="10"/>
    </row>
    <row r="7" customFormat="false" ht="27.75" hidden="false" customHeight="true" outlineLevel="0" collapsed="false">
      <c r="A7" s="3" t="s">
        <v>24</v>
      </c>
      <c r="B7" s="4" t="s">
        <v>25</v>
      </c>
      <c r="C7" s="5" t="s">
        <v>14</v>
      </c>
      <c r="D7" s="4" t="s">
        <v>15</v>
      </c>
      <c r="E7" s="4" t="s">
        <v>16</v>
      </c>
      <c r="F7" s="6" t="s">
        <v>17</v>
      </c>
      <c r="G7" s="7"/>
      <c r="H7" s="7" t="n">
        <v>47130</v>
      </c>
      <c r="I7" s="8" t="n">
        <f aca="true">IF(H7="","",H7-TODAY())</f>
        <v>972</v>
      </c>
      <c r="J7" s="9" t="str">
        <f aca="false">IF(H7="","No review date",IF(I7&lt;0,"OVERDUE",IF(I7&lt;=30,"Due &lt;30 days",IF(I7&lt;=90,"Due &lt;90 days","Current"))))</f>
        <v>Current</v>
      </c>
      <c r="K7" s="10"/>
    </row>
    <row r="8" customFormat="false" ht="27.75" hidden="false" customHeight="true" outlineLevel="0" collapsed="false">
      <c r="A8" s="3" t="s">
        <v>26</v>
      </c>
      <c r="B8" s="4" t="s">
        <v>27</v>
      </c>
      <c r="C8" s="5" t="s">
        <v>14</v>
      </c>
      <c r="D8" s="4" t="s">
        <v>23</v>
      </c>
      <c r="E8" s="4" t="s">
        <v>16</v>
      </c>
      <c r="F8" s="6" t="s">
        <v>17</v>
      </c>
      <c r="G8" s="7"/>
      <c r="H8" s="7" t="n">
        <v>46433</v>
      </c>
      <c r="I8" s="8" t="n">
        <f aca="true">IF(H8="","",H8-TODAY())</f>
        <v>275</v>
      </c>
      <c r="J8" s="9" t="str">
        <f aca="false">IF(H8="","No review date",IF(I8&lt;0,"OVERDUE",IF(I8&lt;=30,"Due &lt;30 days",IF(I8&lt;=90,"Due &lt;90 days","Current"))))</f>
        <v>Current</v>
      </c>
      <c r="K8" s="10"/>
    </row>
    <row r="9" customFormat="false" ht="27.75" hidden="false" customHeight="true" outlineLevel="0" collapsed="false">
      <c r="A9" s="3" t="s">
        <v>28</v>
      </c>
      <c r="B9" s="4" t="s">
        <v>29</v>
      </c>
      <c r="C9" s="5" t="s">
        <v>14</v>
      </c>
      <c r="D9" s="4" t="s">
        <v>30</v>
      </c>
      <c r="E9" s="4" t="s">
        <v>16</v>
      </c>
      <c r="F9" s="6" t="s">
        <v>17</v>
      </c>
      <c r="G9" s="7"/>
      <c r="H9" s="7" t="n">
        <v>46392</v>
      </c>
      <c r="I9" s="8" t="n">
        <f aca="true">IF(H9="","",H9-TODAY())</f>
        <v>234</v>
      </c>
      <c r="J9" s="9" t="str">
        <f aca="false">IF(H9="","No review date",IF(I9&lt;0,"OVERDUE",IF(I9&lt;=30,"Due &lt;30 days",IF(I9&lt;=90,"Due &lt;90 days","Current"))))</f>
        <v>Current</v>
      </c>
      <c r="K9" s="10"/>
    </row>
    <row r="10" customFormat="false" ht="27.75" hidden="false" customHeight="true" outlineLevel="0" collapsed="false">
      <c r="A10" s="3" t="s">
        <v>31</v>
      </c>
      <c r="B10" s="4" t="s">
        <v>32</v>
      </c>
      <c r="C10" s="5" t="s">
        <v>14</v>
      </c>
      <c r="D10" s="4" t="s">
        <v>20</v>
      </c>
      <c r="E10" s="4" t="s">
        <v>16</v>
      </c>
      <c r="F10" s="6" t="s">
        <v>17</v>
      </c>
      <c r="G10" s="7"/>
      <c r="H10" s="7" t="n">
        <v>47151</v>
      </c>
      <c r="I10" s="8" t="n">
        <f aca="true">IF(H10="","",H10-TODAY())</f>
        <v>993</v>
      </c>
      <c r="J10" s="9" t="str">
        <f aca="false">IF(H10="","No review date",IF(I10&lt;0,"OVERDUE",IF(I10&lt;=30,"Due &lt;30 days",IF(I10&lt;=90,"Due &lt;90 days","Current"))))</f>
        <v>Current</v>
      </c>
      <c r="K10" s="10"/>
    </row>
    <row r="11" customFormat="false" ht="27.75" hidden="false" customHeight="true" outlineLevel="0" collapsed="false">
      <c r="A11" s="11" t="s">
        <v>33</v>
      </c>
      <c r="B11" s="4" t="s">
        <v>34</v>
      </c>
      <c r="C11" s="12" t="s">
        <v>35</v>
      </c>
      <c r="D11" s="4" t="s">
        <v>23</v>
      </c>
      <c r="E11" s="4" t="s">
        <v>16</v>
      </c>
      <c r="F11" s="6" t="s">
        <v>17</v>
      </c>
      <c r="G11" s="7"/>
      <c r="H11" s="7" t="n">
        <v>47124</v>
      </c>
      <c r="I11" s="8" t="n">
        <f aca="true">IF(H11="","",H11-TODAY())</f>
        <v>966</v>
      </c>
      <c r="J11" s="9" t="str">
        <f aca="false">IF(H11="","No review date",IF(I11&lt;0,"OVERDUE",IF(I11&lt;=30,"Due &lt;30 days",IF(I11&lt;=90,"Due &lt;90 days","Current"))))</f>
        <v>Current</v>
      </c>
      <c r="K11" s="10"/>
    </row>
    <row r="12" customFormat="false" ht="27.75" hidden="false" customHeight="true" outlineLevel="0" collapsed="false">
      <c r="A12" s="11" t="s">
        <v>36</v>
      </c>
      <c r="B12" s="4" t="s">
        <v>37</v>
      </c>
      <c r="C12" s="12" t="s">
        <v>35</v>
      </c>
      <c r="D12" s="4" t="s">
        <v>38</v>
      </c>
      <c r="E12" s="4" t="s">
        <v>16</v>
      </c>
      <c r="F12" s="6" t="s">
        <v>17</v>
      </c>
      <c r="G12" s="7"/>
      <c r="H12" s="7" t="n">
        <v>47140</v>
      </c>
      <c r="I12" s="8" t="n">
        <f aca="true">IF(H12="","",H12-TODAY())</f>
        <v>982</v>
      </c>
      <c r="J12" s="9" t="str">
        <f aca="false">IF(H12="","No review date",IF(I12&lt;0,"OVERDUE",IF(I12&lt;=30,"Due &lt;30 days",IF(I12&lt;=90,"Due &lt;90 days","Current"))))</f>
        <v>Current</v>
      </c>
      <c r="K12" s="10"/>
    </row>
    <row r="13" customFormat="false" ht="27.75" hidden="false" customHeight="true" outlineLevel="0" collapsed="false">
      <c r="A13" s="11" t="s">
        <v>39</v>
      </c>
      <c r="B13" s="4" t="s">
        <v>40</v>
      </c>
      <c r="C13" s="12" t="s">
        <v>35</v>
      </c>
      <c r="D13" s="4" t="s">
        <v>38</v>
      </c>
      <c r="E13" s="4" t="s">
        <v>16</v>
      </c>
      <c r="F13" s="6" t="s">
        <v>17</v>
      </c>
      <c r="G13" s="7"/>
      <c r="H13" s="7" t="n">
        <v>47173</v>
      </c>
      <c r="I13" s="8" t="n">
        <f aca="true">IF(H13="","",H13-TODAY())</f>
        <v>1015</v>
      </c>
      <c r="J13" s="9" t="str">
        <f aca="false">IF(H13="","No review date",IF(I13&lt;0,"OVERDUE",IF(I13&lt;=30,"Due &lt;30 days",IF(I13&lt;=90,"Due &lt;90 days","Current"))))</f>
        <v>Current</v>
      </c>
      <c r="K13" s="10"/>
    </row>
    <row r="14" customFormat="false" ht="27.75" hidden="false" customHeight="true" outlineLevel="0" collapsed="false">
      <c r="A14" s="11" t="s">
        <v>41</v>
      </c>
      <c r="B14" s="4" t="s">
        <v>42</v>
      </c>
      <c r="C14" s="12" t="s">
        <v>35</v>
      </c>
      <c r="D14" s="4" t="s">
        <v>43</v>
      </c>
      <c r="E14" s="4" t="s">
        <v>16</v>
      </c>
      <c r="F14" s="6" t="s">
        <v>17</v>
      </c>
      <c r="G14" s="7"/>
      <c r="H14" s="7" t="n">
        <v>47152</v>
      </c>
      <c r="I14" s="8" t="n">
        <f aca="true">IF(H14="","",H14-TODAY())</f>
        <v>994</v>
      </c>
      <c r="J14" s="9" t="str">
        <f aca="false">IF(H14="","No review date",IF(I14&lt;0,"OVERDUE",IF(I14&lt;=30,"Due &lt;30 days",IF(I14&lt;=90,"Due &lt;90 days","Current"))))</f>
        <v>Current</v>
      </c>
      <c r="K14" s="10"/>
    </row>
    <row r="15" customFormat="false" ht="27.75" hidden="false" customHeight="true" outlineLevel="0" collapsed="false">
      <c r="A15" s="11" t="s">
        <v>44</v>
      </c>
      <c r="B15" s="4" t="s">
        <v>45</v>
      </c>
      <c r="C15" s="12" t="s">
        <v>35</v>
      </c>
      <c r="D15" s="4" t="s">
        <v>43</v>
      </c>
      <c r="E15" s="4" t="s">
        <v>16</v>
      </c>
      <c r="F15" s="6" t="s">
        <v>17</v>
      </c>
      <c r="G15" s="7"/>
      <c r="H15" s="7" t="n">
        <v>47134</v>
      </c>
      <c r="I15" s="8" t="n">
        <f aca="true">IF(H15="","",H15-TODAY())</f>
        <v>976</v>
      </c>
      <c r="J15" s="9" t="str">
        <f aca="false">IF(H15="","No review date",IF(I15&lt;0,"OVERDUE",IF(I15&lt;=30,"Due &lt;30 days",IF(I15&lt;=90,"Due &lt;90 days","Current"))))</f>
        <v>Current</v>
      </c>
      <c r="K15" s="10"/>
    </row>
    <row r="16" customFormat="false" ht="27.75" hidden="false" customHeight="true" outlineLevel="0" collapsed="false">
      <c r="A16" s="11" t="s">
        <v>46</v>
      </c>
      <c r="B16" s="4" t="s">
        <v>47</v>
      </c>
      <c r="C16" s="12" t="s">
        <v>35</v>
      </c>
      <c r="D16" s="4" t="s">
        <v>38</v>
      </c>
      <c r="E16" s="4" t="s">
        <v>16</v>
      </c>
      <c r="F16" s="6" t="s">
        <v>17</v>
      </c>
      <c r="G16" s="7"/>
      <c r="H16" s="7" t="n">
        <v>47120</v>
      </c>
      <c r="I16" s="8" t="n">
        <f aca="true">IF(H16="","",H16-TODAY())</f>
        <v>962</v>
      </c>
      <c r="J16" s="9" t="str">
        <f aca="false">IF(H16="","No review date",IF(I16&lt;0,"OVERDUE",IF(I16&lt;=30,"Due &lt;30 days",IF(I16&lt;=90,"Due &lt;90 days","Current"))))</f>
        <v>Current</v>
      </c>
      <c r="K16" s="10"/>
    </row>
    <row r="17" customFormat="false" ht="27.75" hidden="false" customHeight="true" outlineLevel="0" collapsed="false">
      <c r="A17" s="11" t="s">
        <v>48</v>
      </c>
      <c r="B17" s="4" t="s">
        <v>49</v>
      </c>
      <c r="C17" s="12" t="s">
        <v>35</v>
      </c>
      <c r="D17" s="4" t="s">
        <v>43</v>
      </c>
      <c r="E17" s="4" t="s">
        <v>16</v>
      </c>
      <c r="F17" s="6" t="s">
        <v>17</v>
      </c>
      <c r="G17" s="7"/>
      <c r="H17" s="7" t="n">
        <v>46408</v>
      </c>
      <c r="I17" s="8" t="n">
        <f aca="true">IF(H17="","",H17-TODAY())</f>
        <v>250</v>
      </c>
      <c r="J17" s="9" t="str">
        <f aca="false">IF(H17="","No review date",IF(I17&lt;0,"OVERDUE",IF(I17&lt;=30,"Due &lt;30 days",IF(I17&lt;=90,"Due &lt;90 days","Current"))))</f>
        <v>Current</v>
      </c>
      <c r="K17" s="10"/>
    </row>
    <row r="18" customFormat="false" ht="27.75" hidden="false" customHeight="true" outlineLevel="0" collapsed="false">
      <c r="A18" s="11" t="s">
        <v>50</v>
      </c>
      <c r="B18" s="4" t="s">
        <v>51</v>
      </c>
      <c r="C18" s="12" t="s">
        <v>35</v>
      </c>
      <c r="D18" s="4" t="s">
        <v>43</v>
      </c>
      <c r="E18" s="4" t="s">
        <v>16</v>
      </c>
      <c r="F18" s="6" t="s">
        <v>17</v>
      </c>
      <c r="G18" s="7"/>
      <c r="H18" s="7" t="n">
        <v>47137</v>
      </c>
      <c r="I18" s="8" t="n">
        <f aca="true">IF(H18="","",H18-TODAY())</f>
        <v>979</v>
      </c>
      <c r="J18" s="9" t="str">
        <f aca="false">IF(H18="","No review date",IF(I18&lt;0,"OVERDUE",IF(I18&lt;=30,"Due &lt;30 days",IF(I18&lt;=90,"Due &lt;90 days","Current"))))</f>
        <v>Current</v>
      </c>
      <c r="K18" s="10"/>
    </row>
    <row r="19" customFormat="false" ht="27.75" hidden="false" customHeight="true" outlineLevel="0" collapsed="false">
      <c r="A19" s="11" t="s">
        <v>52</v>
      </c>
      <c r="B19" s="4" t="s">
        <v>53</v>
      </c>
      <c r="C19" s="12" t="s">
        <v>35</v>
      </c>
      <c r="D19" s="4" t="s">
        <v>43</v>
      </c>
      <c r="E19" s="4" t="s">
        <v>16</v>
      </c>
      <c r="F19" s="6" t="s">
        <v>17</v>
      </c>
      <c r="G19" s="7"/>
      <c r="H19" s="7" t="n">
        <v>47159</v>
      </c>
      <c r="I19" s="8" t="n">
        <f aca="true">IF(H19="","",H19-TODAY())</f>
        <v>1001</v>
      </c>
      <c r="J19" s="9" t="str">
        <f aca="false">IF(H19="","No review date",IF(I19&lt;0,"OVERDUE",IF(I19&lt;=30,"Due &lt;30 days",IF(I19&lt;=90,"Due &lt;90 days","Current"))))</f>
        <v>Current</v>
      </c>
      <c r="K19" s="10"/>
    </row>
    <row r="20" customFormat="false" ht="27.75" hidden="false" customHeight="true" outlineLevel="0" collapsed="false">
      <c r="A20" s="11" t="s">
        <v>54</v>
      </c>
      <c r="B20" s="4" t="s">
        <v>55</v>
      </c>
      <c r="C20" s="12" t="s">
        <v>35</v>
      </c>
      <c r="D20" s="4" t="s">
        <v>43</v>
      </c>
      <c r="E20" s="4" t="s">
        <v>16</v>
      </c>
      <c r="F20" s="6" t="s">
        <v>17</v>
      </c>
      <c r="G20" s="7"/>
      <c r="H20" s="7" t="n">
        <v>47167</v>
      </c>
      <c r="I20" s="8" t="n">
        <f aca="true">IF(H20="","",H20-TODAY())</f>
        <v>1009</v>
      </c>
      <c r="J20" s="9" t="str">
        <f aca="false">IF(H20="","No review date",IF(I20&lt;0,"OVERDUE",IF(I20&lt;=30,"Due &lt;30 days",IF(I20&lt;=90,"Due &lt;90 days","Current"))))</f>
        <v>Current</v>
      </c>
      <c r="K20" s="10"/>
    </row>
    <row r="21" customFormat="false" ht="27.75" hidden="false" customHeight="true" outlineLevel="0" collapsed="false">
      <c r="A21" s="13" t="s">
        <v>56</v>
      </c>
      <c r="B21" s="4" t="s">
        <v>57</v>
      </c>
      <c r="C21" s="14" t="s">
        <v>58</v>
      </c>
      <c r="D21" s="4" t="s">
        <v>20</v>
      </c>
      <c r="E21" s="4" t="s">
        <v>16</v>
      </c>
      <c r="F21" s="6" t="s">
        <v>17</v>
      </c>
      <c r="G21" s="7"/>
      <c r="H21" s="7" t="n">
        <v>47122</v>
      </c>
      <c r="I21" s="8" t="n">
        <f aca="true">IF(H21="","",H21-TODAY())</f>
        <v>964</v>
      </c>
      <c r="J21" s="9" t="str">
        <f aca="false">IF(H21="","No review date",IF(I21&lt;0,"OVERDUE",IF(I21&lt;=30,"Due &lt;30 days",IF(I21&lt;=90,"Due &lt;90 days","Current"))))</f>
        <v>Current</v>
      </c>
      <c r="K21" s="10"/>
    </row>
    <row r="22" customFormat="false" ht="27.75" hidden="false" customHeight="true" outlineLevel="0" collapsed="false">
      <c r="A22" s="13" t="s">
        <v>59</v>
      </c>
      <c r="B22" s="4" t="s">
        <v>60</v>
      </c>
      <c r="C22" s="14" t="s">
        <v>58</v>
      </c>
      <c r="D22" s="4" t="s">
        <v>43</v>
      </c>
      <c r="E22" s="4" t="s">
        <v>16</v>
      </c>
      <c r="F22" s="6" t="s">
        <v>17</v>
      </c>
      <c r="G22" s="7"/>
      <c r="H22" s="7" t="n">
        <v>46405</v>
      </c>
      <c r="I22" s="8" t="n">
        <f aca="true">IF(H22="","",H22-TODAY())</f>
        <v>247</v>
      </c>
      <c r="J22" s="9" t="str">
        <f aca="false">IF(H22="","No review date",IF(I22&lt;0,"OVERDUE",IF(I22&lt;=30,"Due &lt;30 days",IF(I22&lt;=90,"Due &lt;90 days","Current"))))</f>
        <v>Current</v>
      </c>
      <c r="K22" s="10"/>
    </row>
    <row r="23" customFormat="false" ht="27.75" hidden="false" customHeight="true" outlineLevel="0" collapsed="false">
      <c r="A23" s="13" t="s">
        <v>61</v>
      </c>
      <c r="B23" s="4" t="s">
        <v>62</v>
      </c>
      <c r="C23" s="14" t="s">
        <v>58</v>
      </c>
      <c r="D23" s="4" t="s">
        <v>43</v>
      </c>
      <c r="E23" s="4" t="s">
        <v>16</v>
      </c>
      <c r="F23" s="6" t="s">
        <v>17</v>
      </c>
      <c r="G23" s="7"/>
      <c r="H23" s="7" t="n">
        <v>47175</v>
      </c>
      <c r="I23" s="8" t="n">
        <f aca="true">IF(H23="","",H23-TODAY())</f>
        <v>1017</v>
      </c>
      <c r="J23" s="9" t="str">
        <f aca="false">IF(H23="","No review date",IF(I23&lt;0,"OVERDUE",IF(I23&lt;=30,"Due &lt;30 days",IF(I23&lt;=90,"Due &lt;90 days","Current"))))</f>
        <v>Current</v>
      </c>
      <c r="K23" s="10"/>
    </row>
    <row r="24" customFormat="false" ht="27.75" hidden="false" customHeight="true" outlineLevel="0" collapsed="false">
      <c r="A24" s="13" t="s">
        <v>63</v>
      </c>
      <c r="B24" s="4" t="s">
        <v>64</v>
      </c>
      <c r="C24" s="14" t="s">
        <v>58</v>
      </c>
      <c r="D24" s="4" t="s">
        <v>38</v>
      </c>
      <c r="E24" s="4" t="s">
        <v>16</v>
      </c>
      <c r="F24" s="6" t="s">
        <v>17</v>
      </c>
      <c r="G24" s="7"/>
      <c r="H24" s="7" t="n">
        <v>46392</v>
      </c>
      <c r="I24" s="8" t="n">
        <f aca="true">IF(H24="","",H24-TODAY())</f>
        <v>234</v>
      </c>
      <c r="J24" s="9" t="str">
        <f aca="false">IF(H24="","No review date",IF(I24&lt;0,"OVERDUE",IF(I24&lt;=30,"Due &lt;30 days",IF(I24&lt;=90,"Due &lt;90 days","Current"))))</f>
        <v>Current</v>
      </c>
      <c r="K24" s="10"/>
    </row>
    <row r="25" customFormat="false" ht="27.75" hidden="false" customHeight="true" outlineLevel="0" collapsed="false">
      <c r="A25" s="13" t="s">
        <v>65</v>
      </c>
      <c r="B25" s="4" t="s">
        <v>66</v>
      </c>
      <c r="C25" s="14" t="s">
        <v>58</v>
      </c>
      <c r="D25" s="4" t="s">
        <v>43</v>
      </c>
      <c r="E25" s="4" t="s">
        <v>16</v>
      </c>
      <c r="F25" s="6" t="s">
        <v>17</v>
      </c>
      <c r="G25" s="7"/>
      <c r="H25" s="7" t="n">
        <v>47136</v>
      </c>
      <c r="I25" s="8" t="n">
        <f aca="true">IF(H25="","",H25-TODAY())</f>
        <v>978</v>
      </c>
      <c r="J25" s="9" t="str">
        <f aca="false">IF(H25="","No review date",IF(I25&lt;0,"OVERDUE",IF(I25&lt;=30,"Due &lt;30 days",IF(I25&lt;=90,"Due &lt;90 days","Current"))))</f>
        <v>Current</v>
      </c>
      <c r="K25" s="10"/>
    </row>
    <row r="26" customFormat="false" ht="27.75" hidden="false" customHeight="true" outlineLevel="0" collapsed="false">
      <c r="A26" s="13" t="s">
        <v>67</v>
      </c>
      <c r="B26" s="4" t="s">
        <v>68</v>
      </c>
      <c r="C26" s="14" t="s">
        <v>58</v>
      </c>
      <c r="D26" s="4" t="s">
        <v>20</v>
      </c>
      <c r="E26" s="4" t="s">
        <v>16</v>
      </c>
      <c r="F26" s="6" t="s">
        <v>17</v>
      </c>
      <c r="G26" s="7"/>
      <c r="H26" s="7" t="n">
        <v>47136</v>
      </c>
      <c r="I26" s="8" t="n">
        <f aca="true">IF(H26="","",H26-TODAY())</f>
        <v>978</v>
      </c>
      <c r="J26" s="9" t="str">
        <f aca="false">IF(H26="","No review date",IF(I26&lt;0,"OVERDUE",IF(I26&lt;=30,"Due &lt;30 days",IF(I26&lt;=90,"Due &lt;90 days","Current"))))</f>
        <v>Current</v>
      </c>
      <c r="K26" s="10"/>
    </row>
    <row r="27" customFormat="false" ht="27.75" hidden="false" customHeight="true" outlineLevel="0" collapsed="false">
      <c r="A27" s="13" t="s">
        <v>69</v>
      </c>
      <c r="B27" s="4" t="s">
        <v>70</v>
      </c>
      <c r="C27" s="14" t="s">
        <v>58</v>
      </c>
      <c r="D27" s="4" t="s">
        <v>43</v>
      </c>
      <c r="E27" s="4" t="s">
        <v>16</v>
      </c>
      <c r="F27" s="6" t="s">
        <v>17</v>
      </c>
      <c r="G27" s="7"/>
      <c r="H27" s="7" t="n">
        <v>47127</v>
      </c>
      <c r="I27" s="8" t="n">
        <f aca="true">IF(H27="","",H27-TODAY())</f>
        <v>969</v>
      </c>
      <c r="J27" s="9" t="str">
        <f aca="false">IF(H27="","No review date",IF(I27&lt;0,"OVERDUE",IF(I27&lt;=30,"Due &lt;30 days",IF(I27&lt;=90,"Due &lt;90 days","Current"))))</f>
        <v>Current</v>
      </c>
      <c r="K27" s="10"/>
    </row>
    <row r="28" customFormat="false" ht="27.75" hidden="false" customHeight="true" outlineLevel="0" collapsed="false">
      <c r="A28" s="13" t="s">
        <v>71</v>
      </c>
      <c r="B28" s="4" t="s">
        <v>72</v>
      </c>
      <c r="C28" s="14" t="s">
        <v>58</v>
      </c>
      <c r="D28" s="4" t="s">
        <v>43</v>
      </c>
      <c r="E28" s="4" t="s">
        <v>16</v>
      </c>
      <c r="F28" s="6" t="s">
        <v>17</v>
      </c>
      <c r="G28" s="7"/>
      <c r="H28" s="7" t="n">
        <v>47140</v>
      </c>
      <c r="I28" s="8" t="n">
        <f aca="true">IF(H28="","",H28-TODAY())</f>
        <v>982</v>
      </c>
      <c r="J28" s="9" t="str">
        <f aca="false">IF(H28="","No review date",IF(I28&lt;0,"OVERDUE",IF(I28&lt;=30,"Due &lt;30 days",IF(I28&lt;=90,"Due &lt;90 days","Current"))))</f>
        <v>Current</v>
      </c>
      <c r="K28" s="10"/>
    </row>
    <row r="29" customFormat="false" ht="27.75" hidden="false" customHeight="true" outlineLevel="0" collapsed="false">
      <c r="A29" s="13" t="s">
        <v>73</v>
      </c>
      <c r="B29" s="4" t="s">
        <v>74</v>
      </c>
      <c r="C29" s="14" t="s">
        <v>58</v>
      </c>
      <c r="D29" s="4" t="s">
        <v>20</v>
      </c>
      <c r="E29" s="4" t="s">
        <v>16</v>
      </c>
      <c r="F29" s="6" t="s">
        <v>17</v>
      </c>
      <c r="G29" s="7"/>
      <c r="H29" s="7" t="n">
        <v>47152</v>
      </c>
      <c r="I29" s="8" t="n">
        <f aca="true">IF(H29="","",H29-TODAY())</f>
        <v>994</v>
      </c>
      <c r="J29" s="9" t="str">
        <f aca="false">IF(H29="","No review date",IF(I29&lt;0,"OVERDUE",IF(I29&lt;=30,"Due &lt;30 days",IF(I29&lt;=90,"Due &lt;90 days","Current"))))</f>
        <v>Current</v>
      </c>
      <c r="K29" s="10"/>
    </row>
    <row r="30" customFormat="false" ht="27.75" hidden="false" customHeight="true" outlineLevel="0" collapsed="false">
      <c r="A30" s="13" t="s">
        <v>75</v>
      </c>
      <c r="B30" s="4" t="s">
        <v>76</v>
      </c>
      <c r="C30" s="14" t="s">
        <v>58</v>
      </c>
      <c r="D30" s="4" t="s">
        <v>43</v>
      </c>
      <c r="E30" s="4" t="s">
        <v>16</v>
      </c>
      <c r="F30" s="6" t="s">
        <v>17</v>
      </c>
      <c r="G30" s="7"/>
      <c r="H30" s="7" t="n">
        <v>46393</v>
      </c>
      <c r="I30" s="8" t="n">
        <f aca="true">IF(H30="","",H30-TODAY())</f>
        <v>235</v>
      </c>
      <c r="J30" s="9" t="str">
        <f aca="false">IF(H30="","No review date",IF(I30&lt;0,"OVERDUE",IF(I30&lt;=30,"Due &lt;30 days",IF(I30&lt;=90,"Due &lt;90 days","Current"))))</f>
        <v>Current</v>
      </c>
      <c r="K30" s="10"/>
    </row>
    <row r="31" customFormat="false" ht="27.75" hidden="false" customHeight="true" outlineLevel="0" collapsed="false">
      <c r="A31" s="13" t="s">
        <v>77</v>
      </c>
      <c r="B31" s="4" t="s">
        <v>78</v>
      </c>
      <c r="C31" s="14" t="s">
        <v>58</v>
      </c>
      <c r="D31" s="4" t="s">
        <v>23</v>
      </c>
      <c r="E31" s="4" t="s">
        <v>16</v>
      </c>
      <c r="F31" s="6" t="s">
        <v>17</v>
      </c>
      <c r="G31" s="7"/>
      <c r="H31" s="7" t="n">
        <v>46399</v>
      </c>
      <c r="I31" s="8" t="n">
        <f aca="true">IF(H31="","",H31-TODAY())</f>
        <v>241</v>
      </c>
      <c r="J31" s="9" t="str">
        <f aca="false">IF(H31="","No review date",IF(I31&lt;0,"OVERDUE",IF(I31&lt;=30,"Due &lt;30 days",IF(I31&lt;=90,"Due &lt;90 days","Current"))))</f>
        <v>Current</v>
      </c>
      <c r="K31" s="10"/>
    </row>
    <row r="32" customFormat="false" ht="27.75" hidden="false" customHeight="true" outlineLevel="0" collapsed="false">
      <c r="A32" s="13" t="s">
        <v>79</v>
      </c>
      <c r="B32" s="4" t="s">
        <v>80</v>
      </c>
      <c r="C32" s="14" t="s">
        <v>58</v>
      </c>
      <c r="D32" s="4" t="s">
        <v>38</v>
      </c>
      <c r="E32" s="4" t="s">
        <v>16</v>
      </c>
      <c r="F32" s="6" t="s">
        <v>17</v>
      </c>
      <c r="G32" s="7"/>
      <c r="H32" s="7" t="n">
        <v>46402</v>
      </c>
      <c r="I32" s="8" t="n">
        <f aca="true">IF(H32="","",H32-TODAY())</f>
        <v>244</v>
      </c>
      <c r="J32" s="9" t="str">
        <f aca="false">IF(H32="","No review date",IF(I32&lt;0,"OVERDUE",IF(I32&lt;=30,"Due &lt;30 days",IF(I32&lt;=90,"Due &lt;90 days","Current"))))</f>
        <v>Current</v>
      </c>
      <c r="K32" s="10"/>
    </row>
    <row r="33" customFormat="false" ht="27.75" hidden="false" customHeight="true" outlineLevel="0" collapsed="false">
      <c r="A33" s="15" t="s">
        <v>81</v>
      </c>
      <c r="B33" s="4" t="s">
        <v>82</v>
      </c>
      <c r="C33" s="16" t="s">
        <v>83</v>
      </c>
      <c r="D33" s="4" t="s">
        <v>20</v>
      </c>
      <c r="E33" s="4" t="s">
        <v>16</v>
      </c>
      <c r="F33" s="6" t="s">
        <v>17</v>
      </c>
      <c r="G33" s="7"/>
      <c r="H33" s="7" t="n">
        <v>46412</v>
      </c>
      <c r="I33" s="8" t="n">
        <f aca="true">IF(H33="","",H33-TODAY())</f>
        <v>254</v>
      </c>
      <c r="J33" s="9" t="str">
        <f aca="false">IF(H33="","No review date",IF(I33&lt;0,"OVERDUE",IF(I33&lt;=30,"Due &lt;30 days",IF(I33&lt;=90,"Due &lt;90 days","Current"))))</f>
        <v>Current</v>
      </c>
      <c r="K33" s="10"/>
    </row>
    <row r="34" customFormat="false" ht="27.75" hidden="false" customHeight="true" outlineLevel="0" collapsed="false">
      <c r="A34" s="15" t="s">
        <v>84</v>
      </c>
      <c r="B34" s="4" t="s">
        <v>85</v>
      </c>
      <c r="C34" s="16" t="s">
        <v>83</v>
      </c>
      <c r="D34" s="4" t="s">
        <v>23</v>
      </c>
      <c r="E34" s="4" t="s">
        <v>16</v>
      </c>
      <c r="F34" s="6" t="s">
        <v>17</v>
      </c>
      <c r="G34" s="7"/>
      <c r="H34" s="7" t="n">
        <v>47127</v>
      </c>
      <c r="I34" s="8" t="n">
        <f aca="true">IF(H34="","",H34-TODAY())</f>
        <v>969</v>
      </c>
      <c r="J34" s="9" t="str">
        <f aca="false">IF(H34="","No review date",IF(I34&lt;0,"OVERDUE",IF(I34&lt;=30,"Due &lt;30 days",IF(I34&lt;=90,"Due &lt;90 days","Current"))))</f>
        <v>Current</v>
      </c>
      <c r="K34" s="10"/>
    </row>
    <row r="35" customFormat="false" ht="27.75" hidden="false" customHeight="true" outlineLevel="0" collapsed="false">
      <c r="A35" s="15" t="s">
        <v>86</v>
      </c>
      <c r="B35" s="4" t="s">
        <v>87</v>
      </c>
      <c r="C35" s="16" t="s">
        <v>83</v>
      </c>
      <c r="D35" s="4" t="s">
        <v>20</v>
      </c>
      <c r="E35" s="4" t="s">
        <v>16</v>
      </c>
      <c r="F35" s="6" t="s">
        <v>17</v>
      </c>
      <c r="G35" s="7"/>
      <c r="H35" s="7" t="n">
        <v>46440</v>
      </c>
      <c r="I35" s="8" t="n">
        <f aca="true">IF(H35="","",H35-TODAY())</f>
        <v>282</v>
      </c>
      <c r="J35" s="9" t="str">
        <f aca="false">IF(H35="","No review date",IF(I35&lt;0,"OVERDUE",IF(I35&lt;=30,"Due &lt;30 days",IF(I35&lt;=90,"Due &lt;90 days","Current"))))</f>
        <v>Current</v>
      </c>
      <c r="K35" s="10"/>
    </row>
    <row r="36" customFormat="false" ht="27.75" hidden="false" customHeight="true" outlineLevel="0" collapsed="false">
      <c r="A36" s="15" t="s">
        <v>88</v>
      </c>
      <c r="B36" s="4" t="s">
        <v>89</v>
      </c>
      <c r="C36" s="16" t="s">
        <v>83</v>
      </c>
      <c r="D36" s="4" t="s">
        <v>43</v>
      </c>
      <c r="E36" s="4" t="s">
        <v>16</v>
      </c>
      <c r="F36" s="6" t="s">
        <v>17</v>
      </c>
      <c r="G36" s="7"/>
      <c r="H36" s="7" t="n">
        <v>47136</v>
      </c>
      <c r="I36" s="8" t="n">
        <f aca="true">IF(H36="","",H36-TODAY())</f>
        <v>978</v>
      </c>
      <c r="J36" s="9" t="str">
        <f aca="false">IF(H36="","No review date",IF(I36&lt;0,"OVERDUE",IF(I36&lt;=30,"Due &lt;30 days",IF(I36&lt;=90,"Due &lt;90 days","Current"))))</f>
        <v>Current</v>
      </c>
      <c r="K36" s="10"/>
    </row>
    <row r="37" customFormat="false" ht="27.75" hidden="false" customHeight="true" outlineLevel="0" collapsed="false">
      <c r="A37" s="17" t="s">
        <v>90</v>
      </c>
      <c r="B37" s="4" t="s">
        <v>91</v>
      </c>
      <c r="C37" s="18" t="s">
        <v>92</v>
      </c>
      <c r="D37" s="4" t="s">
        <v>23</v>
      </c>
      <c r="E37" s="4" t="s">
        <v>16</v>
      </c>
      <c r="F37" s="6" t="s">
        <v>17</v>
      </c>
      <c r="G37" s="7"/>
      <c r="H37" s="7" t="n">
        <v>47126</v>
      </c>
      <c r="I37" s="8" t="n">
        <f aca="true">IF(H37="","",H37-TODAY())</f>
        <v>968</v>
      </c>
      <c r="J37" s="9" t="str">
        <f aca="false">IF(H37="","No review date",IF(I37&lt;0,"OVERDUE",IF(I37&lt;=30,"Due &lt;30 days",IF(I37&lt;=90,"Due &lt;90 days","Current"))))</f>
        <v>Current</v>
      </c>
      <c r="K37" s="10"/>
    </row>
    <row r="38" customFormat="false" ht="27.75" hidden="false" customHeight="true" outlineLevel="0" collapsed="false">
      <c r="A38" s="17" t="s">
        <v>93</v>
      </c>
      <c r="B38" s="4" t="s">
        <v>94</v>
      </c>
      <c r="C38" s="18" t="s">
        <v>92</v>
      </c>
      <c r="D38" s="4" t="s">
        <v>23</v>
      </c>
      <c r="E38" s="4" t="s">
        <v>16</v>
      </c>
      <c r="F38" s="6" t="s">
        <v>17</v>
      </c>
      <c r="G38" s="7"/>
      <c r="H38" s="7" t="n">
        <v>47124</v>
      </c>
      <c r="I38" s="8" t="n">
        <f aca="true">IF(H38="","",H38-TODAY())</f>
        <v>966</v>
      </c>
      <c r="J38" s="9" t="str">
        <f aca="false">IF(H38="","No review date",IF(I38&lt;0,"OVERDUE",IF(I38&lt;=30,"Due &lt;30 days",IF(I38&lt;=90,"Due &lt;90 days","Current"))))</f>
        <v>Current</v>
      </c>
      <c r="K38" s="10"/>
    </row>
    <row r="39" customFormat="false" ht="27.75" hidden="false" customHeight="true" outlineLevel="0" collapsed="false">
      <c r="A39" s="17" t="s">
        <v>95</v>
      </c>
      <c r="B39" s="4" t="s">
        <v>96</v>
      </c>
      <c r="C39" s="18" t="s">
        <v>92</v>
      </c>
      <c r="D39" s="4" t="s">
        <v>23</v>
      </c>
      <c r="E39" s="4" t="s">
        <v>16</v>
      </c>
      <c r="F39" s="6" t="s">
        <v>17</v>
      </c>
      <c r="G39" s="7"/>
      <c r="H39" s="7" t="n">
        <v>47165</v>
      </c>
      <c r="I39" s="8" t="n">
        <f aca="true">IF(H39="","",H39-TODAY())</f>
        <v>1007</v>
      </c>
      <c r="J39" s="9" t="str">
        <f aca="false">IF(H39="","No review date",IF(I39&lt;0,"OVERDUE",IF(I39&lt;=30,"Due &lt;30 days",IF(I39&lt;=90,"Due &lt;90 days","Current"))))</f>
        <v>Current</v>
      </c>
      <c r="K39" s="10"/>
    </row>
    <row r="40" customFormat="false" ht="27.75" hidden="false" customHeight="true" outlineLevel="0" collapsed="false">
      <c r="A40" s="17" t="s">
        <v>97</v>
      </c>
      <c r="B40" s="4" t="s">
        <v>98</v>
      </c>
      <c r="C40" s="18" t="s">
        <v>92</v>
      </c>
      <c r="D40" s="4" t="s">
        <v>23</v>
      </c>
      <c r="E40" s="4" t="s">
        <v>16</v>
      </c>
      <c r="F40" s="6" t="s">
        <v>17</v>
      </c>
      <c r="G40" s="7"/>
      <c r="H40" s="7" t="n">
        <v>47136</v>
      </c>
      <c r="I40" s="8" t="n">
        <f aca="true">IF(H40="","",H40-TODAY())</f>
        <v>978</v>
      </c>
      <c r="J40" s="9" t="str">
        <f aca="false">IF(H40="","No review date",IF(I40&lt;0,"OVERDUE",IF(I40&lt;=30,"Due &lt;30 days",IF(I40&lt;=90,"Due &lt;90 days","Current"))))</f>
        <v>Current</v>
      </c>
      <c r="K40" s="10"/>
    </row>
    <row r="41" customFormat="false" ht="27.75" hidden="false" customHeight="true" outlineLevel="0" collapsed="false">
      <c r="A41" s="17" t="s">
        <v>99</v>
      </c>
      <c r="B41" s="4" t="s">
        <v>100</v>
      </c>
      <c r="C41" s="18" t="s">
        <v>92</v>
      </c>
      <c r="D41" s="4" t="s">
        <v>23</v>
      </c>
      <c r="E41" s="4" t="s">
        <v>16</v>
      </c>
      <c r="F41" s="6" t="s">
        <v>17</v>
      </c>
      <c r="G41" s="7"/>
      <c r="H41" s="7" t="n">
        <v>47141</v>
      </c>
      <c r="I41" s="8" t="n">
        <f aca="true">IF(H41="","",H41-TODAY())</f>
        <v>983</v>
      </c>
      <c r="J41" s="9" t="str">
        <f aca="false">IF(H41="","No review date",IF(I41&lt;0,"OVERDUE",IF(I41&lt;=30,"Due &lt;30 days",IF(I41&lt;=90,"Due &lt;90 days","Current"))))</f>
        <v>Current</v>
      </c>
      <c r="K41" s="10"/>
    </row>
    <row r="42" customFormat="false" ht="27.75" hidden="false" customHeight="true" outlineLevel="0" collapsed="false">
      <c r="A42" s="17" t="s">
        <v>101</v>
      </c>
      <c r="B42" s="4" t="s">
        <v>102</v>
      </c>
      <c r="C42" s="18" t="s">
        <v>92</v>
      </c>
      <c r="D42" s="4" t="s">
        <v>23</v>
      </c>
      <c r="E42" s="4" t="s">
        <v>16</v>
      </c>
      <c r="F42" s="6" t="s">
        <v>17</v>
      </c>
      <c r="G42" s="7"/>
      <c r="H42" s="7" t="n">
        <v>47170</v>
      </c>
      <c r="I42" s="8" t="n">
        <f aca="true">IF(H42="","",H42-TODAY())</f>
        <v>1012</v>
      </c>
      <c r="J42" s="9" t="str">
        <f aca="false">IF(H42="","No review date",IF(I42&lt;0,"OVERDUE",IF(I42&lt;=30,"Due &lt;30 days",IF(I42&lt;=90,"Due &lt;90 days","Current"))))</f>
        <v>Current</v>
      </c>
      <c r="K42" s="10"/>
    </row>
    <row r="43" customFormat="false" ht="27.75" hidden="false" customHeight="true" outlineLevel="0" collapsed="false">
      <c r="A43" s="17" t="s">
        <v>103</v>
      </c>
      <c r="B43" s="4" t="s">
        <v>104</v>
      </c>
      <c r="C43" s="18" t="s">
        <v>92</v>
      </c>
      <c r="D43" s="4" t="s">
        <v>105</v>
      </c>
      <c r="E43" s="4" t="s">
        <v>16</v>
      </c>
      <c r="F43" s="6" t="s">
        <v>17</v>
      </c>
      <c r="G43" s="7"/>
      <c r="H43" s="7"/>
      <c r="I43" s="8" t="str">
        <f aca="true">IF(H43="","",H43-TODAY())</f>
        <v/>
      </c>
      <c r="J43" s="9" t="str">
        <f aca="false">IF(H43="","No review date",IF(I43&lt;0,"OVERDUE",IF(I43&lt;=30,"Due &lt;30 days",IF(I43&lt;=90,"Due &lt;90 days","Current"))))</f>
        <v>No review date</v>
      </c>
      <c r="K43" s="10"/>
    </row>
    <row r="44" customFormat="false" ht="27.75" hidden="false" customHeight="true" outlineLevel="0" collapsed="false">
      <c r="A44" s="19" t="s">
        <v>106</v>
      </c>
      <c r="B44" s="4" t="s">
        <v>107</v>
      </c>
      <c r="C44" s="20" t="s">
        <v>108</v>
      </c>
      <c r="D44" s="4" t="s">
        <v>20</v>
      </c>
      <c r="E44" s="4" t="s">
        <v>16</v>
      </c>
      <c r="F44" s="6" t="s">
        <v>17</v>
      </c>
      <c r="G44" s="7"/>
      <c r="H44" s="7" t="n">
        <v>47142</v>
      </c>
      <c r="I44" s="8" t="n">
        <f aca="true">IF(H44="","",H44-TODAY())</f>
        <v>984</v>
      </c>
      <c r="J44" s="9" t="str">
        <f aca="false">IF(H44="","No review date",IF(I44&lt;0,"OVERDUE",IF(I44&lt;=30,"Due &lt;30 days",IF(I44&lt;=90,"Due &lt;90 days","Current"))))</f>
        <v>Current</v>
      </c>
      <c r="K44" s="10"/>
    </row>
    <row r="45" customFormat="false" ht="27.75" hidden="false" customHeight="true" outlineLevel="0" collapsed="false">
      <c r="A45" s="19" t="s">
        <v>109</v>
      </c>
      <c r="B45" s="4" t="s">
        <v>110</v>
      </c>
      <c r="C45" s="20" t="s">
        <v>108</v>
      </c>
      <c r="D45" s="4" t="s">
        <v>23</v>
      </c>
      <c r="E45" s="4" t="s">
        <v>16</v>
      </c>
      <c r="F45" s="6" t="s">
        <v>17</v>
      </c>
      <c r="G45" s="7"/>
      <c r="H45" s="7" t="n">
        <v>47146</v>
      </c>
      <c r="I45" s="8" t="n">
        <f aca="true">IF(H45="","",H45-TODAY())</f>
        <v>988</v>
      </c>
      <c r="J45" s="9" t="str">
        <f aca="false">IF(H45="","No review date",IF(I45&lt;0,"OVERDUE",IF(I45&lt;=30,"Due &lt;30 days",IF(I45&lt;=90,"Due &lt;90 days","Current"))))</f>
        <v>Current</v>
      </c>
      <c r="K45" s="10"/>
    </row>
  </sheetData>
  <autoFilter ref="A3:K45"/>
  <mergeCells count="1">
    <mergeCell ref="A1:K1"/>
  </mergeCells>
  <conditionalFormatting sqref="J4:J45">
    <cfRule type="cellIs" priority="2" operator="equal" aboveAverage="0" equalAverage="0" bottom="0" percent="0" rank="0" text="" dxfId="10">
      <formula>"OVERDUE"</formula>
    </cfRule>
    <cfRule type="cellIs" priority="3" operator="equal" aboveAverage="0" equalAverage="0" bottom="0" percent="0" rank="0" text="" dxfId="11">
      <formula>"Due &lt;30 days"</formula>
    </cfRule>
    <cfRule type="cellIs" priority="4" operator="equal" aboveAverage="0" equalAverage="0" bottom="0" percent="0" rank="0" text="" dxfId="12">
      <formula>"Due &lt;90 days"</formula>
    </cfRule>
    <cfRule type="cellIs" priority="5" operator="equal" aboveAverage="0" equalAverage="0" bottom="0" percent="0" rank="0" text="" dxfId="13">
      <formula>"Current"</formula>
    </cfRule>
  </conditionalFormatting>
  <conditionalFormatting sqref="K4:K45">
    <cfRule type="expression" priority="6" aboveAverage="0" equalAverage="0" bottom="0" percent="0" rank="0" text="" dxfId="10">
      <formula>AND(ISNUMBER(K4),K4&lt;0.8)</formula>
    </cfRule>
    <cfRule type="expression" priority="7" aboveAverage="0" equalAverage="0" bottom="0" percent="0" rank="0" text="" dxfId="12">
      <formula>AND(ISNUMBER(K4),K4&lt;0.95)</formula>
    </cfRule>
    <cfRule type="expression" priority="8" aboveAverage="0" equalAverage="0" bottom="0" percent="0" rank="0" text="" dxfId="13">
      <formula>ISNUMBER(K4)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22"/>
  </cols>
  <sheetData>
    <row r="2" customFormat="false" ht="22.05" hidden="false" customHeight="false" outlineLevel="0" collapsed="false">
      <c r="B2" s="21" t="s">
        <v>111</v>
      </c>
      <c r="C2" s="21"/>
    </row>
    <row r="4" customFormat="false" ht="15" hidden="false" customHeight="false" outlineLevel="0" collapsed="false">
      <c r="B4" s="22" t="s">
        <v>112</v>
      </c>
      <c r="C4" s="23" t="n">
        <f aca="false">COUNTA('Document Register'!A4:A45)</f>
        <v>42</v>
      </c>
    </row>
    <row r="5" customFormat="false" ht="15" hidden="false" customHeight="false" outlineLevel="0" collapsed="false">
      <c r="B5" s="22" t="s">
        <v>113</v>
      </c>
      <c r="C5" s="0" t="n">
        <f aca="false">COUNTIF('Document Register'!J4:J45,"Current")</f>
        <v>41</v>
      </c>
    </row>
    <row r="6" customFormat="false" ht="15" hidden="false" customHeight="false" outlineLevel="0" collapsed="false">
      <c r="B6" s="22" t="s">
        <v>114</v>
      </c>
      <c r="C6" s="0" t="n">
        <f aca="false">COUNTIF('Document Register'!J4:J45,"Due &lt;90 days")+COUNTIF('Document Register'!J4:J45,"Due &lt;30 days")</f>
        <v>0</v>
      </c>
    </row>
    <row r="7" customFormat="false" ht="15" hidden="false" customHeight="false" outlineLevel="0" collapsed="false">
      <c r="B7" s="22" t="s">
        <v>115</v>
      </c>
      <c r="C7" s="0" t="n">
        <f aca="false">COUNTIF('Document Register'!J4:J45,"OVERDUE")</f>
        <v>0</v>
      </c>
    </row>
    <row r="8" customFormat="false" ht="15" hidden="false" customHeight="false" outlineLevel="0" collapsed="false">
      <c r="B8" s="22" t="s">
        <v>116</v>
      </c>
      <c r="C8" s="24" t="n">
        <f aca="false">IFERROR(COUNT('Document Register'!H4:H45)/C4,0)</f>
        <v>0.976190476190476</v>
      </c>
    </row>
    <row r="10" customFormat="false" ht="15" hidden="false" customHeight="false" outlineLevel="0" collapsed="false">
      <c r="B10" s="25" t="s">
        <v>117</v>
      </c>
    </row>
    <row r="11" customFormat="false" ht="15" hidden="false" customHeight="false" outlineLevel="0" collapsed="false">
      <c r="B11" s="26" t="s">
        <v>14</v>
      </c>
      <c r="C11" s="0" t="n">
        <f aca="false">COUNTIF('Document Register'!C4:C45,"Governance")</f>
        <v>7</v>
      </c>
    </row>
    <row r="12" customFormat="false" ht="15" hidden="false" customHeight="false" outlineLevel="0" collapsed="false">
      <c r="B12" s="27" t="s">
        <v>35</v>
      </c>
      <c r="C12" s="0" t="n">
        <f aca="false">COUNTIF('Document Register'!C4:C45,"Care")</f>
        <v>10</v>
      </c>
    </row>
    <row r="13" customFormat="false" ht="15" hidden="false" customHeight="false" outlineLevel="0" collapsed="false">
      <c r="B13" s="28" t="s">
        <v>58</v>
      </c>
      <c r="C13" s="0" t="n">
        <f aca="false">COUNTIF('Document Register'!C4:C45,"Health &amp; Safety")</f>
        <v>12</v>
      </c>
    </row>
    <row r="14" customFormat="false" ht="15" hidden="false" customHeight="false" outlineLevel="0" collapsed="false">
      <c r="B14" s="29" t="s">
        <v>83</v>
      </c>
      <c r="C14" s="0" t="n">
        <f aca="false">COUNTIF('Document Register'!C4:C45,"HR")</f>
        <v>4</v>
      </c>
    </row>
    <row r="15" customFormat="false" ht="15" hidden="false" customHeight="false" outlineLevel="0" collapsed="false">
      <c r="B15" s="30" t="s">
        <v>92</v>
      </c>
      <c r="C15" s="0" t="n">
        <f aca="false">COUNTIF('Document Register'!C4:C45,"Quality Assurance")</f>
        <v>7</v>
      </c>
    </row>
    <row r="16" customFormat="false" ht="15" hidden="false" customHeight="false" outlineLevel="0" collapsed="false">
      <c r="B16" s="31" t="s">
        <v>108</v>
      </c>
      <c r="C16" s="0" t="n">
        <f aca="false">COUNTIF('Document Register'!C4:C45,"Information Management")</f>
        <v>2</v>
      </c>
    </row>
    <row r="17" customFormat="false" ht="15" hidden="false" customHeight="false" outlineLevel="0" collapsed="false">
      <c r="B17" s="25" t="s">
        <v>118</v>
      </c>
    </row>
    <row r="18" customFormat="false" ht="21.75" hidden="false" customHeight="true" outlineLevel="0" collapsed="false">
      <c r="B18" s="32" t="s">
        <v>119</v>
      </c>
    </row>
    <row r="19" customFormat="false" ht="21.75" hidden="false" customHeight="true" outlineLevel="0" collapsed="false">
      <c r="B19" s="32" t="s">
        <v>120</v>
      </c>
    </row>
    <row r="20" customFormat="false" ht="21.75" hidden="false" customHeight="true" outlineLevel="0" collapsed="false">
      <c r="B20" s="32" t="s">
        <v>121</v>
      </c>
    </row>
    <row r="21" customFormat="false" ht="21.75" hidden="false" customHeight="true" outlineLevel="0" collapsed="false">
      <c r="B21" s="32" t="s">
        <v>122</v>
      </c>
    </row>
    <row r="22" customFormat="false" ht="21.75" hidden="false" customHeight="true" outlineLevel="0" collapsed="false">
      <c r="B22" s="32" t="s">
        <v>123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2026-05-16T09:39:05Z</dcterms:created>
  <dc:creator>openpyxl</dc:creator>
  <dc:description/>
  <dc:language>en-US</dc:language>
  <cp:lastModifiedBy/>
  <dcterms:modified xsi:type="dcterms:W3CDTF">2026-05-16T09:39:05Z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